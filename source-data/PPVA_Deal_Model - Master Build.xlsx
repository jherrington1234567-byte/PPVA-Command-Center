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huaHerrington-Vic\Downloads\PPLI -- PPVA Master Sort\"/>
    </mc:Choice>
  </mc:AlternateContent>
  <xr:revisionPtr revIDLastSave="0" documentId="8_{21208260-65BC-4B10-9970-3A3680F26C57}" xr6:coauthVersionLast="47" xr6:coauthVersionMax="47" xr10:uidLastSave="{00000000-0000-0000-0000-000000000000}"/>
  <bookViews>
    <workbookView xWindow="28680" yWindow="0" windowWidth="29040" windowHeight="15720" tabRatio="500" firstSheet="4" activeTab="7" xr2:uid="{00000000-000D-0000-FFFF-FFFF00000000}"/>
  </bookViews>
  <sheets>
    <sheet name="入力 Inputs" sheetId="1" r:id="rId1"/>
    <sheet name="計算 Calculations" sheetId="2" r:id="rId2"/>
    <sheet name="キャリア Carrier Illust." sheetId="8" r:id="rId3"/>
    <sheet name="税金 Tax Impact" sheetId="9" r:id="rId4"/>
    <sheet name="既存ポートフォリオ Existing" sheetId="10" r:id="rId5"/>
    <sheet name="サマリー Summary" sheetId="11" r:id="rId6"/>
    <sheet name="マスター Master" sheetId="3" r:id="rId7"/>
    <sheet name="Ohanaピッチ" sheetId="4" r:id="rId8"/>
    <sheet name="PBWRピッチ" sheetId="5" r:id="rId9"/>
    <sheet name="アドバイザーピッチ" sheetId="6" r:id="rId10"/>
    <sheet name="MMピッチ MM Pitch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1" l="1"/>
  <c r="B24" i="11"/>
  <c r="B5" i="7"/>
  <c r="B81" i="2"/>
  <c r="B17" i="6"/>
  <c r="A17" i="6"/>
  <c r="C76" i="3"/>
  <c r="E24" i="3"/>
  <c r="D24" i="3"/>
  <c r="C24" i="3"/>
  <c r="A24" i="3"/>
  <c r="H63" i="2"/>
  <c r="H62" i="2"/>
  <c r="H61" i="2"/>
  <c r="H60" i="2"/>
  <c r="H59" i="2"/>
  <c r="H58" i="2"/>
  <c r="H57" i="2"/>
  <c r="H56" i="2"/>
  <c r="H55" i="2"/>
  <c r="H54" i="2"/>
  <c r="G64" i="2"/>
  <c r="G63" i="2"/>
  <c r="G62" i="2"/>
  <c r="G61" i="2"/>
  <c r="G60" i="2"/>
  <c r="G59" i="2"/>
  <c r="G58" i="2"/>
  <c r="G57" i="2"/>
  <c r="G56" i="2"/>
  <c r="G55" i="2"/>
  <c r="G54" i="2"/>
  <c r="B50" i="2"/>
  <c r="B49" i="2"/>
  <c r="A49" i="2"/>
  <c r="B6" i="7"/>
  <c r="B54" i="3"/>
  <c r="A44" i="1"/>
  <c r="A27" i="1"/>
  <c r="C31" i="1"/>
  <c r="A22" i="11" l="1"/>
  <c r="A21" i="11"/>
  <c r="A6" i="2"/>
  <c r="A2" i="5"/>
  <c r="A1" i="5"/>
  <c r="A39" i="3"/>
  <c r="A18" i="3"/>
  <c r="A17" i="3"/>
  <c r="A16" i="3"/>
  <c r="A15" i="3"/>
  <c r="A16" i="2"/>
  <c r="C15" i="2"/>
  <c r="A15" i="2"/>
  <c r="A14" i="2"/>
  <c r="C13" i="2"/>
  <c r="A13" i="2"/>
  <c r="A12" i="2"/>
  <c r="C11" i="2"/>
  <c r="A11" i="2"/>
  <c r="A10" i="2"/>
  <c r="B16" i="1"/>
  <c r="B41" i="3" s="1"/>
  <c r="A16" i="1"/>
  <c r="A15" i="1"/>
  <c r="A14" i="1"/>
  <c r="A13" i="1"/>
  <c r="A12" i="1"/>
  <c r="A11" i="1"/>
  <c r="B19" i="4" l="1"/>
  <c r="B20" i="4"/>
  <c r="B23" i="4"/>
  <c r="B22" i="4"/>
  <c r="C16" i="2"/>
  <c r="D32" i="1" l="1"/>
  <c r="C20" i="1"/>
  <c r="C21" i="1" s="1"/>
  <c r="C25" i="1"/>
  <c r="A46" i="9"/>
  <c r="A45" i="9"/>
  <c r="A28" i="11"/>
  <c r="A27" i="11"/>
  <c r="A26" i="11"/>
  <c r="A24" i="11"/>
  <c r="A23" i="11"/>
  <c r="A20" i="11"/>
  <c r="A18" i="11"/>
  <c r="A17" i="11"/>
  <c r="A16" i="11"/>
  <c r="A15" i="11"/>
  <c r="A13" i="11"/>
  <c r="A12" i="11"/>
  <c r="A11" i="11"/>
  <c r="A10" i="11"/>
  <c r="A8" i="11"/>
  <c r="A7" i="11"/>
  <c r="A6" i="11"/>
  <c r="B5" i="11"/>
  <c r="A5" i="11"/>
  <c r="A4" i="11"/>
  <c r="A2" i="11"/>
  <c r="A1" i="11"/>
  <c r="A22" i="10"/>
  <c r="A21" i="10"/>
  <c r="A19" i="10"/>
  <c r="A18" i="10"/>
  <c r="B17" i="10"/>
  <c r="A17" i="10"/>
  <c r="B16" i="10"/>
  <c r="A16" i="10"/>
  <c r="B15" i="10"/>
  <c r="A15" i="10"/>
  <c r="B14" i="10"/>
  <c r="A14" i="10"/>
  <c r="B13" i="10"/>
  <c r="A13" i="10"/>
  <c r="A12" i="10"/>
  <c r="E10" i="10"/>
  <c r="D10" i="10"/>
  <c r="A10" i="10"/>
  <c r="F4" i="10"/>
  <c r="E4" i="10"/>
  <c r="D4" i="10"/>
  <c r="C4" i="10"/>
  <c r="B4" i="10"/>
  <c r="A4" i="10"/>
  <c r="A2" i="10"/>
  <c r="A1" i="10"/>
  <c r="D32" i="9"/>
  <c r="E26" i="9"/>
  <c r="L13" i="9"/>
  <c r="K13" i="9"/>
  <c r="J13" i="9"/>
  <c r="B96" i="1"/>
  <c r="A96" i="1"/>
  <c r="A95" i="1"/>
  <c r="A94" i="1"/>
  <c r="A93" i="1"/>
  <c r="A133" i="8"/>
  <c r="A132" i="8"/>
  <c r="A131" i="8"/>
  <c r="A130" i="8"/>
  <c r="A129" i="8"/>
  <c r="A128" i="8"/>
  <c r="A127" i="8"/>
  <c r="M4" i="8"/>
  <c r="A56" i="3"/>
  <c r="A55" i="3"/>
  <c r="C54" i="3"/>
  <c r="A54" i="3"/>
  <c r="B53" i="3"/>
  <c r="A53" i="3"/>
  <c r="B52" i="3"/>
  <c r="A52" i="3"/>
  <c r="B51" i="3"/>
  <c r="A51" i="3"/>
  <c r="C50" i="3"/>
  <c r="A50" i="3"/>
  <c r="C49" i="3"/>
  <c r="B49" i="3"/>
  <c r="A49" i="3"/>
  <c r="A48" i="3"/>
  <c r="D21" i="7"/>
  <c r="C21" i="7"/>
  <c r="B21" i="7"/>
  <c r="A21" i="7"/>
  <c r="A20" i="7"/>
  <c r="A18" i="7"/>
  <c r="A17" i="7"/>
  <c r="A16" i="7"/>
  <c r="A15" i="7"/>
  <c r="A14" i="7"/>
  <c r="A12" i="7"/>
  <c r="A11" i="7"/>
  <c r="A10" i="7"/>
  <c r="A9" i="7"/>
  <c r="A7" i="7"/>
  <c r="A6" i="7"/>
  <c r="A5" i="7"/>
  <c r="A4" i="7"/>
  <c r="A2" i="7"/>
  <c r="A1" i="7"/>
  <c r="E91" i="1"/>
  <c r="A91" i="1"/>
  <c r="A90" i="1"/>
  <c r="Q4" i="8"/>
  <c r="P4" i="8"/>
  <c r="L4" i="8"/>
  <c r="K4" i="8"/>
  <c r="J4" i="8"/>
  <c r="I4" i="8"/>
  <c r="H4" i="8"/>
  <c r="G4" i="8"/>
  <c r="A1" i="6"/>
  <c r="A2" i="6"/>
  <c r="A4" i="6"/>
  <c r="A5" i="6"/>
  <c r="A6" i="6"/>
  <c r="B6" i="6"/>
  <c r="B16" i="6" s="1"/>
  <c r="A7" i="6"/>
  <c r="A9" i="6"/>
  <c r="A10" i="6"/>
  <c r="A11" i="6"/>
  <c r="A12" i="6"/>
  <c r="A14" i="6"/>
  <c r="A15" i="6"/>
  <c r="A16" i="6"/>
  <c r="A18" i="6"/>
  <c r="A20" i="6"/>
  <c r="A21" i="6"/>
  <c r="F22" i="6"/>
  <c r="F23" i="6"/>
  <c r="F24" i="6"/>
  <c r="F25" i="6"/>
  <c r="F26" i="6"/>
  <c r="F27" i="6"/>
  <c r="F28" i="6"/>
  <c r="F29" i="6"/>
  <c r="F30" i="6"/>
  <c r="F31" i="6"/>
  <c r="A4" i="5"/>
  <c r="A5" i="5"/>
  <c r="B5" i="5"/>
  <c r="A7" i="5"/>
  <c r="A8" i="5"/>
  <c r="A9" i="5"/>
  <c r="A11" i="5"/>
  <c r="A13" i="5"/>
  <c r="A14" i="5"/>
  <c r="A15" i="5"/>
  <c r="C15" i="5"/>
  <c r="A16" i="5"/>
  <c r="C16" i="5"/>
  <c r="A17" i="5"/>
  <c r="C17" i="5"/>
  <c r="A19" i="5"/>
  <c r="A1" i="4"/>
  <c r="A2" i="4"/>
  <c r="A4" i="4"/>
  <c r="A5" i="4"/>
  <c r="B5" i="4"/>
  <c r="A7" i="4"/>
  <c r="A8" i="4"/>
  <c r="A9" i="4"/>
  <c r="A11" i="4"/>
  <c r="A12" i="4"/>
  <c r="A13" i="4"/>
  <c r="A14" i="4"/>
  <c r="A15" i="4"/>
  <c r="A17" i="4"/>
  <c r="A18" i="4"/>
  <c r="A21" i="4"/>
  <c r="A1" i="3"/>
  <c r="A2" i="3"/>
  <c r="A4" i="3"/>
  <c r="A5" i="3"/>
  <c r="B5" i="3"/>
  <c r="A6" i="3"/>
  <c r="A7" i="3"/>
  <c r="A8" i="3"/>
  <c r="A9" i="3"/>
  <c r="A10" i="3"/>
  <c r="A11" i="3"/>
  <c r="A13" i="3"/>
  <c r="A14" i="3"/>
  <c r="A19" i="3"/>
  <c r="A20" i="3"/>
  <c r="A21" i="3"/>
  <c r="A22" i="3"/>
  <c r="A23" i="3"/>
  <c r="A26" i="3"/>
  <c r="A28" i="3"/>
  <c r="A29" i="3"/>
  <c r="A30" i="3"/>
  <c r="A31" i="3"/>
  <c r="A32" i="3"/>
  <c r="A38" i="3"/>
  <c r="A40" i="3"/>
  <c r="A41" i="3"/>
  <c r="A42" i="3"/>
  <c r="A60" i="3"/>
  <c r="A61" i="3"/>
  <c r="A69" i="3"/>
  <c r="A78" i="3"/>
  <c r="A90" i="3"/>
  <c r="A94" i="3"/>
  <c r="A1" i="9"/>
  <c r="A2" i="9"/>
  <c r="A4" i="9"/>
  <c r="A5" i="9"/>
  <c r="B5" i="9"/>
  <c r="D5" i="9"/>
  <c r="A6" i="9"/>
  <c r="B6" i="9"/>
  <c r="D6" i="9"/>
  <c r="A7" i="9"/>
  <c r="D7" i="9"/>
  <c r="A8" i="9"/>
  <c r="D8" i="9"/>
  <c r="A12" i="9"/>
  <c r="A13" i="9"/>
  <c r="B13" i="9"/>
  <c r="C13" i="9"/>
  <c r="D13" i="9"/>
  <c r="E13" i="9"/>
  <c r="F13" i="9"/>
  <c r="G13" i="9"/>
  <c r="H13" i="9"/>
  <c r="I13" i="9"/>
  <c r="B14" i="9"/>
  <c r="C14" i="9" s="1"/>
  <c r="D14" i="9" s="1"/>
  <c r="B33" i="9" s="1"/>
  <c r="B15" i="9"/>
  <c r="C15" i="9" s="1"/>
  <c r="D15" i="9" s="1"/>
  <c r="B34" i="9" s="1"/>
  <c r="B16" i="9"/>
  <c r="C16" i="9" s="1"/>
  <c r="D16" i="9" s="1"/>
  <c r="B35" i="9" s="1"/>
  <c r="B17" i="9"/>
  <c r="C17" i="9" s="1"/>
  <c r="D17" i="9" s="1"/>
  <c r="B36" i="9" s="1"/>
  <c r="B18" i="9"/>
  <c r="C18" i="9" s="1"/>
  <c r="D18" i="9" s="1"/>
  <c r="B37" i="9" s="1"/>
  <c r="B19" i="9"/>
  <c r="C19" i="9" s="1"/>
  <c r="D19" i="9" s="1"/>
  <c r="B38" i="9" s="1"/>
  <c r="B20" i="9"/>
  <c r="C20" i="9" s="1"/>
  <c r="D20" i="9" s="1"/>
  <c r="B39" i="9" s="1"/>
  <c r="B21" i="9"/>
  <c r="C21" i="9" s="1"/>
  <c r="D21" i="9" s="1"/>
  <c r="B40" i="9" s="1"/>
  <c r="B22" i="9"/>
  <c r="C22" i="9" s="1"/>
  <c r="D22" i="9" s="1"/>
  <c r="B41" i="9" s="1"/>
  <c r="B23" i="9"/>
  <c r="C23" i="9" s="1"/>
  <c r="D23" i="9" s="1"/>
  <c r="B42" i="9" s="1"/>
  <c r="A25" i="9"/>
  <c r="B26" i="9"/>
  <c r="C26" i="9"/>
  <c r="D26" i="9"/>
  <c r="A27" i="9"/>
  <c r="A28" i="9"/>
  <c r="A29" i="9"/>
  <c r="A30" i="9"/>
  <c r="A32" i="9"/>
  <c r="B32" i="9"/>
  <c r="C32" i="9"/>
  <c r="A33" i="9"/>
  <c r="A34" i="9"/>
  <c r="A35" i="9"/>
  <c r="A36" i="9"/>
  <c r="A37" i="9"/>
  <c r="A38" i="9"/>
  <c r="A39" i="9"/>
  <c r="A40" i="9"/>
  <c r="A41" i="9"/>
  <c r="A42" i="9"/>
  <c r="A89" i="8"/>
  <c r="B89" i="8" s="1"/>
  <c r="A90" i="8"/>
  <c r="C90" i="8" s="1"/>
  <c r="A91" i="8"/>
  <c r="H91" i="8" s="1" a="1"/>
  <c r="H91" i="8" s="1"/>
  <c r="A92" i="8"/>
  <c r="C92" i="8" s="1"/>
  <c r="A93" i="8"/>
  <c r="F93" i="8" s="1"/>
  <c r="A94" i="8"/>
  <c r="A95" i="8"/>
  <c r="B95" i="8" s="1"/>
  <c r="A96" i="8"/>
  <c r="H96" i="8" s="1" a="1"/>
  <c r="H96" i="8" s="1"/>
  <c r="A97" i="8"/>
  <c r="M97" i="8" s="1"/>
  <c r="A98" i="8"/>
  <c r="O98" i="8" s="1"/>
  <c r="A99" i="8"/>
  <c r="C99" i="8" s="1"/>
  <c r="A100" i="8"/>
  <c r="B100" i="8" s="1"/>
  <c r="A101" i="8"/>
  <c r="B101" i="8" s="1"/>
  <c r="A102" i="8"/>
  <c r="C102" i="8" s="1"/>
  <c r="A103" i="8"/>
  <c r="A104" i="8"/>
  <c r="B104" i="8" s="1"/>
  <c r="A105" i="8"/>
  <c r="F105" i="8" s="1"/>
  <c r="A106" i="8"/>
  <c r="A107" i="8"/>
  <c r="B107" i="8" s="1"/>
  <c r="A108" i="8"/>
  <c r="J108" i="8" s="1"/>
  <c r="A109" i="8"/>
  <c r="L109" i="8" s="1"/>
  <c r="H109" i="8" a="1"/>
  <c r="H109" i="8" s="1"/>
  <c r="A110" i="8"/>
  <c r="P110" i="8" s="1"/>
  <c r="A111" i="8"/>
  <c r="A112" i="8"/>
  <c r="O112" i="8" s="1"/>
  <c r="A113" i="8"/>
  <c r="O113" i="8" s="1"/>
  <c r="A114" i="8"/>
  <c r="K114" i="8" s="1" a="1"/>
  <c r="K114" i="8" s="1"/>
  <c r="A115" i="8"/>
  <c r="A116" i="8"/>
  <c r="B116" i="8" s="1"/>
  <c r="A117" i="8"/>
  <c r="F117" i="8" s="1"/>
  <c r="A118" i="8"/>
  <c r="M118" i="8" s="1"/>
  <c r="A119" i="8"/>
  <c r="O119" i="8" s="1"/>
  <c r="A120" i="8"/>
  <c r="B120" i="8" s="1"/>
  <c r="A121" i="8"/>
  <c r="C121" i="8" s="1"/>
  <c r="A122" i="8"/>
  <c r="O122" i="8" s="1"/>
  <c r="A123" i="8"/>
  <c r="B123" i="8" s="1"/>
  <c r="A124" i="8"/>
  <c r="H124" i="8" s="1" a="1"/>
  <c r="H124" i="8" s="1"/>
  <c r="L124" i="8"/>
  <c r="A125" i="8"/>
  <c r="H125" i="8" s="1" a="1"/>
  <c r="H125" i="8" s="1"/>
  <c r="A1" i="8"/>
  <c r="A2" i="8"/>
  <c r="A4" i="8"/>
  <c r="B4" i="8"/>
  <c r="C4" i="8"/>
  <c r="A5" i="8"/>
  <c r="N5" i="8" s="1"/>
  <c r="A6" i="8"/>
  <c r="B6" i="8" s="1"/>
  <c r="A7" i="8"/>
  <c r="B7" i="8" s="1"/>
  <c r="A8" i="8"/>
  <c r="A9" i="8"/>
  <c r="B9" i="8" s="1"/>
  <c r="A10" i="8"/>
  <c r="B10" i="8" s="1"/>
  <c r="A11" i="8"/>
  <c r="B11" i="8" s="1"/>
  <c r="A12" i="8"/>
  <c r="C12" i="8" s="1"/>
  <c r="B12" i="8"/>
  <c r="A13" i="8"/>
  <c r="B13" i="8" s="1"/>
  <c r="A14" i="8"/>
  <c r="A15" i="8"/>
  <c r="C15" i="8" s="1"/>
  <c r="A16" i="8"/>
  <c r="B16" i="8" s="1"/>
  <c r="A17" i="8"/>
  <c r="C17" i="8" s="1"/>
  <c r="A18" i="8"/>
  <c r="B18" i="8" s="1"/>
  <c r="A19" i="8"/>
  <c r="B19" i="8" s="1"/>
  <c r="A20" i="8"/>
  <c r="A21" i="8"/>
  <c r="B21" i="8" s="1"/>
  <c r="A22" i="8"/>
  <c r="B22" i="8" s="1"/>
  <c r="A23" i="8"/>
  <c r="C23" i="8" s="1"/>
  <c r="B23" i="8"/>
  <c r="A24" i="8"/>
  <c r="N24" i="8" s="1"/>
  <c r="C24" i="8"/>
  <c r="A25" i="8"/>
  <c r="A26" i="8"/>
  <c r="C26" i="8" s="1"/>
  <c r="A27" i="8"/>
  <c r="C27" i="8" s="1"/>
  <c r="A28" i="8"/>
  <c r="B28" i="8" s="1"/>
  <c r="A29" i="8"/>
  <c r="A30" i="8"/>
  <c r="B30" i="8" s="1"/>
  <c r="A31" i="8"/>
  <c r="N31" i="8" s="1"/>
  <c r="A32" i="8"/>
  <c r="A33" i="8"/>
  <c r="B33" i="8" s="1"/>
  <c r="A34" i="8"/>
  <c r="B34" i="8" s="1"/>
  <c r="A35" i="8"/>
  <c r="B35" i="8" s="1"/>
  <c r="A36" i="8"/>
  <c r="B36" i="8" s="1"/>
  <c r="A37" i="8"/>
  <c r="A38" i="8"/>
  <c r="C38" i="8" s="1"/>
  <c r="A39" i="8"/>
  <c r="C39" i="8" s="1"/>
  <c r="A40" i="8"/>
  <c r="B40" i="8" s="1"/>
  <c r="A41" i="8"/>
  <c r="A42" i="8"/>
  <c r="B42" i="8" s="1"/>
  <c r="A43" i="8"/>
  <c r="B43" i="8" s="1"/>
  <c r="A44" i="8"/>
  <c r="A45" i="8"/>
  <c r="N45" i="8" s="1"/>
  <c r="A46" i="8"/>
  <c r="B46" i="8" s="1"/>
  <c r="A47" i="8"/>
  <c r="A48" i="8"/>
  <c r="B48" i="8" s="1"/>
  <c r="A49" i="8"/>
  <c r="A50" i="8"/>
  <c r="B50" i="8" s="1"/>
  <c r="A51" i="8"/>
  <c r="N51" i="8" s="1"/>
  <c r="A52" i="8"/>
  <c r="A53" i="8"/>
  <c r="N53" i="8" s="1"/>
  <c r="A54" i="8"/>
  <c r="B54" i="8" s="1"/>
  <c r="A55" i="8"/>
  <c r="N55" i="8" s="1"/>
  <c r="A56" i="8"/>
  <c r="A57" i="8"/>
  <c r="B57" i="8" s="1"/>
  <c r="A58" i="8"/>
  <c r="B58" i="8" s="1"/>
  <c r="A59" i="8"/>
  <c r="C59" i="8" s="1"/>
  <c r="A60" i="8"/>
  <c r="N60" i="8" s="1"/>
  <c r="A61" i="8"/>
  <c r="B61" i="8" s="1"/>
  <c r="A62" i="8"/>
  <c r="A63" i="8"/>
  <c r="B63" i="8" s="1"/>
  <c r="A64" i="8"/>
  <c r="N64" i="8" s="1"/>
  <c r="A65" i="8"/>
  <c r="N65" i="8" s="1"/>
  <c r="A66" i="8"/>
  <c r="B66" i="8" s="1"/>
  <c r="A67" i="8"/>
  <c r="A68" i="8"/>
  <c r="A69" i="8"/>
  <c r="B69" i="8" s="1"/>
  <c r="A70" i="8"/>
  <c r="B70" i="8" s="1"/>
  <c r="A71" i="8"/>
  <c r="K71" i="8" s="1" a="1"/>
  <c r="K71" i="8" s="1"/>
  <c r="A72" i="8"/>
  <c r="C72" i="8" s="1"/>
  <c r="A73" i="8"/>
  <c r="B73" i="8" s="1"/>
  <c r="A74" i="8"/>
  <c r="E74" i="8" s="1" a="1"/>
  <c r="E74" i="8" s="1"/>
  <c r="A75" i="8"/>
  <c r="O75" i="8" s="1"/>
  <c r="A76" i="8"/>
  <c r="H76" i="8" s="1" a="1"/>
  <c r="H76" i="8" s="1"/>
  <c r="A77" i="8"/>
  <c r="B77" i="8" s="1"/>
  <c r="A78" i="8"/>
  <c r="B78" i="8" s="1"/>
  <c r="A79" i="8"/>
  <c r="I79" i="8" s="1"/>
  <c r="A80" i="8"/>
  <c r="O80" i="8" s="1"/>
  <c r="A81" i="8"/>
  <c r="P81" i="8" s="1"/>
  <c r="A82" i="8"/>
  <c r="B82" i="8" s="1"/>
  <c r="A83" i="8"/>
  <c r="Q83" i="8" s="1"/>
  <c r="A84" i="8"/>
  <c r="C84" i="8" s="1"/>
  <c r="A85" i="8"/>
  <c r="A86" i="8"/>
  <c r="A87" i="8"/>
  <c r="H87" i="8" s="1" a="1"/>
  <c r="H87" i="8" s="1"/>
  <c r="A88" i="8"/>
  <c r="B88" i="8" s="1"/>
  <c r="A1" i="2"/>
  <c r="A2" i="2"/>
  <c r="A4" i="2"/>
  <c r="A5" i="2"/>
  <c r="B5" i="2"/>
  <c r="B6" i="2"/>
  <c r="C6" i="2"/>
  <c r="A7" i="2"/>
  <c r="B7" i="2"/>
  <c r="F3" i="4" s="1"/>
  <c r="C7" i="2"/>
  <c r="A8" i="2"/>
  <c r="C8" i="2"/>
  <c r="A18" i="2"/>
  <c r="A19" i="2"/>
  <c r="B19" i="2"/>
  <c r="A20" i="2"/>
  <c r="B20" i="2"/>
  <c r="A21" i="2"/>
  <c r="A23" i="2"/>
  <c r="A25" i="2"/>
  <c r="A26" i="2"/>
  <c r="A27" i="2"/>
  <c r="A28" i="2"/>
  <c r="B28" i="2"/>
  <c r="C28" i="2"/>
  <c r="B15" i="5" s="1"/>
  <c r="D28" i="2"/>
  <c r="F28" i="2"/>
  <c r="H28" i="2"/>
  <c r="C95" i="3" s="1"/>
  <c r="I28" i="2"/>
  <c r="D95" i="3" s="1"/>
  <c r="A29" i="2"/>
  <c r="B29" i="2"/>
  <c r="D29" i="2"/>
  <c r="A30" i="2"/>
  <c r="B30" i="2"/>
  <c r="D30" i="2"/>
  <c r="A31" i="2"/>
  <c r="A33" i="2"/>
  <c r="A34" i="2"/>
  <c r="B34" i="2"/>
  <c r="C34" i="2"/>
  <c r="B65" i="3" s="1"/>
  <c r="D34" i="2"/>
  <c r="A35" i="2"/>
  <c r="B35" i="2"/>
  <c r="D35" i="2"/>
  <c r="A36" i="2"/>
  <c r="B36" i="2"/>
  <c r="D36" i="2"/>
  <c r="A37" i="2"/>
  <c r="A39" i="2"/>
  <c r="A44" i="2"/>
  <c r="A45" i="2"/>
  <c r="A46" i="2"/>
  <c r="B46" i="2"/>
  <c r="A47" i="2"/>
  <c r="B47" i="2"/>
  <c r="A48" i="2"/>
  <c r="B48" i="2"/>
  <c r="A50" i="2"/>
  <c r="A51" i="2"/>
  <c r="D51" i="2"/>
  <c r="A52" i="2"/>
  <c r="A53" i="2"/>
  <c r="A64" i="2"/>
  <c r="A67" i="2"/>
  <c r="A68" i="2"/>
  <c r="B68" i="2"/>
  <c r="A69" i="2"/>
  <c r="A70" i="2"/>
  <c r="A71" i="2"/>
  <c r="A73" i="2"/>
  <c r="A74" i="2"/>
  <c r="A75" i="2"/>
  <c r="A77" i="2"/>
  <c r="A78" i="2"/>
  <c r="A79" i="2"/>
  <c r="A81" i="2"/>
  <c r="A82" i="2"/>
  <c r="B82" i="2"/>
  <c r="A83" i="2"/>
  <c r="A84" i="2"/>
  <c r="A1" i="1"/>
  <c r="A2" i="1"/>
  <c r="A4" i="1"/>
  <c r="A5" i="1"/>
  <c r="A6" i="1"/>
  <c r="A7" i="1"/>
  <c r="A8" i="1"/>
  <c r="A10" i="1"/>
  <c r="A18" i="1"/>
  <c r="A19" i="1"/>
  <c r="A20" i="1"/>
  <c r="A23" i="1"/>
  <c r="B23" i="1"/>
  <c r="C23" i="1"/>
  <c r="D23" i="1"/>
  <c r="E23" i="1"/>
  <c r="A24" i="1"/>
  <c r="A25" i="1"/>
  <c r="E25" i="1"/>
  <c r="A26" i="1"/>
  <c r="C26" i="1"/>
  <c r="E26" i="1"/>
  <c r="C27" i="1"/>
  <c r="F30" i="2" s="1"/>
  <c r="E27" i="1"/>
  <c r="A28" i="1"/>
  <c r="A29" i="1"/>
  <c r="C29" i="1"/>
  <c r="E29" i="1"/>
  <c r="A30" i="1"/>
  <c r="C30" i="1"/>
  <c r="C35" i="2" s="1"/>
  <c r="E30" i="1"/>
  <c r="A31" i="1"/>
  <c r="C36" i="2"/>
  <c r="B67" i="3" s="1"/>
  <c r="E31" i="1"/>
  <c r="A32" i="1"/>
  <c r="B32" i="1"/>
  <c r="A34" i="1"/>
  <c r="A35" i="1"/>
  <c r="B35" i="1"/>
  <c r="C35" i="1"/>
  <c r="D35" i="1"/>
  <c r="E35" i="1"/>
  <c r="A36" i="1"/>
  <c r="A37" i="1"/>
  <c r="A38" i="1"/>
  <c r="C38" i="1"/>
  <c r="A40" i="1"/>
  <c r="A41" i="1"/>
  <c r="A42" i="1"/>
  <c r="A43" i="1"/>
  <c r="A45" i="1"/>
  <c r="A47" i="1"/>
  <c r="A48" i="1"/>
  <c r="B48" i="1"/>
  <c r="B51" i="1" s="1"/>
  <c r="C56" i="2" s="1"/>
  <c r="A49" i="1"/>
  <c r="A50" i="1"/>
  <c r="A51" i="1"/>
  <c r="A53" i="1"/>
  <c r="A54" i="1"/>
  <c r="A55" i="1"/>
  <c r="A56" i="1"/>
  <c r="B56" i="1"/>
  <c r="B87" i="1" s="1"/>
  <c r="A57" i="1"/>
  <c r="A59" i="1"/>
  <c r="A60" i="1"/>
  <c r="A61" i="1"/>
  <c r="A62" i="1"/>
  <c r="A63" i="1"/>
  <c r="A64" i="1"/>
  <c r="A65" i="1"/>
  <c r="A66" i="1"/>
  <c r="A67" i="1"/>
  <c r="B67" i="1"/>
  <c r="E6" i="9" s="1"/>
  <c r="A69" i="1"/>
  <c r="A70" i="1"/>
  <c r="B70" i="1"/>
  <c r="C70" i="1"/>
  <c r="C71" i="1"/>
  <c r="C72" i="1"/>
  <c r="C73" i="1"/>
  <c r="C74" i="1"/>
  <c r="C75" i="1"/>
  <c r="C76" i="1"/>
  <c r="C77" i="1"/>
  <c r="C78" i="1"/>
  <c r="C79" i="1"/>
  <c r="C80" i="1"/>
  <c r="A82" i="1"/>
  <c r="A83" i="1"/>
  <c r="A84" i="1"/>
  <c r="A85" i="1"/>
  <c r="A86" i="1"/>
  <c r="A87" i="1"/>
  <c r="B96" i="8" l="1"/>
  <c r="Q71" i="8"/>
  <c r="P95" i="8"/>
  <c r="P113" i="8"/>
  <c r="B113" i="8"/>
  <c r="F101" i="8"/>
  <c r="B24" i="8"/>
  <c r="C95" i="8"/>
  <c r="N57" i="8"/>
  <c r="B121" i="8"/>
  <c r="O88" i="8"/>
  <c r="Q66" i="8"/>
  <c r="B31" i="8"/>
  <c r="K109" i="8" a="1"/>
  <c r="K109" i="8" s="1"/>
  <c r="N28" i="8"/>
  <c r="Q124" i="8"/>
  <c r="F96" i="8"/>
  <c r="H88" i="8" a="1"/>
  <c r="H88" i="8" s="1"/>
  <c r="P66" i="8"/>
  <c r="N113" i="8"/>
  <c r="C109" i="8"/>
  <c r="K88" i="8" a="1"/>
  <c r="K88" i="8" s="1"/>
  <c r="F88" i="8"/>
  <c r="L66" i="8"/>
  <c r="B59" i="8"/>
  <c r="C50" i="8"/>
  <c r="L113" i="8"/>
  <c r="B109" i="8"/>
  <c r="C88" i="8"/>
  <c r="N80" i="8"/>
  <c r="N38" i="8"/>
  <c r="K113" i="8" a="1"/>
  <c r="K113" i="8" s="1"/>
  <c r="B99" i="8"/>
  <c r="N71" i="8"/>
  <c r="C64" i="8"/>
  <c r="E87" i="8" a="1"/>
  <c r="E87" i="8" s="1"/>
  <c r="B87" i="8"/>
  <c r="B64" i="8"/>
  <c r="N36" i="8"/>
  <c r="P97" i="8"/>
  <c r="F97" i="8"/>
  <c r="Q76" i="8"/>
  <c r="N63" i="8"/>
  <c r="N17" i="8"/>
  <c r="O114" i="8"/>
  <c r="F76" i="8"/>
  <c r="C63" i="8"/>
  <c r="C54" i="8"/>
  <c r="E114" i="8" a="1"/>
  <c r="E114" i="8" s="1"/>
  <c r="P109" i="8"/>
  <c r="L88" i="8"/>
  <c r="C83" i="8"/>
  <c r="B75" i="8"/>
  <c r="Q113" i="8"/>
  <c r="I109" i="8"/>
  <c r="Q101" i="8"/>
  <c r="O81" i="8"/>
  <c r="C76" i="8"/>
  <c r="C60" i="8"/>
  <c r="K122" i="8" a="1"/>
  <c r="K122" i="8" s="1"/>
  <c r="N112" i="8"/>
  <c r="Q105" i="8"/>
  <c r="K92" i="8" a="1"/>
  <c r="K92" i="8" s="1"/>
  <c r="N81" i="8"/>
  <c r="B76" i="8"/>
  <c r="O69" i="8"/>
  <c r="B60" i="8"/>
  <c r="I122" i="8"/>
  <c r="L112" i="8"/>
  <c r="N109" i="8"/>
  <c r="K105" i="8" a="1"/>
  <c r="K105" i="8" s="1"/>
  <c r="Q96" i="8"/>
  <c r="B92" i="8"/>
  <c r="L81" i="8"/>
  <c r="K77" i="8" a="1"/>
  <c r="K77" i="8" s="1"/>
  <c r="N69" i="8"/>
  <c r="K112" i="8" a="1"/>
  <c r="K112" i="8" s="1"/>
  <c r="B18" i="10"/>
  <c r="C81" i="8"/>
  <c r="H77" i="8" a="1"/>
  <c r="H77" i="8" s="1"/>
  <c r="L69" i="8"/>
  <c r="N59" i="8"/>
  <c r="I112" i="8"/>
  <c r="E30" i="2"/>
  <c r="B84" i="8"/>
  <c r="B81" i="8"/>
  <c r="E69" i="8" a="1"/>
  <c r="E69" i="8" s="1"/>
  <c r="C53" i="8"/>
  <c r="C9" i="8"/>
  <c r="B112" i="8"/>
  <c r="K98" i="8" a="1"/>
  <c r="K98" i="8" s="1"/>
  <c r="C16" i="8"/>
  <c r="P89" i="8"/>
  <c r="C32" i="1"/>
  <c r="E88" i="8" a="1"/>
  <c r="E88" i="8" s="1"/>
  <c r="B83" i="8"/>
  <c r="K80" i="8" a="1"/>
  <c r="K80" i="8" s="1"/>
  <c r="L76" i="8"/>
  <c r="N58" i="8"/>
  <c r="N43" i="8"/>
  <c r="C28" i="8"/>
  <c r="B15" i="8"/>
  <c r="O124" i="8"/>
  <c r="I113" i="8"/>
  <c r="O110" i="8"/>
  <c r="P101" i="8"/>
  <c r="K97" i="8" a="1"/>
  <c r="K97" i="8" s="1"/>
  <c r="I80" i="8"/>
  <c r="K76" i="8" a="1"/>
  <c r="K76" i="8" s="1"/>
  <c r="C43" i="8"/>
  <c r="N34" i="8"/>
  <c r="C7" i="8"/>
  <c r="N110" i="8"/>
  <c r="K101" i="8" a="1"/>
  <c r="K101" i="8" s="1"/>
  <c r="I97" i="8"/>
  <c r="E32" i="1"/>
  <c r="B8" i="11" s="1"/>
  <c r="E82" i="8" a="1"/>
  <c r="E82" i="8" s="1"/>
  <c r="E80" i="8" a="1"/>
  <c r="E80" i="8" s="1"/>
  <c r="I76" i="8"/>
  <c r="N50" i="8"/>
  <c r="K110" i="8" a="1"/>
  <c r="K110" i="8" s="1"/>
  <c r="P107" i="8"/>
  <c r="H101" i="8" a="1"/>
  <c r="H101" i="8" s="1"/>
  <c r="H97" i="8" a="1"/>
  <c r="H97" i="8" s="1"/>
  <c r="K93" i="8" a="1"/>
  <c r="K93" i="8" s="1"/>
  <c r="Q112" i="8"/>
  <c r="C87" i="8"/>
  <c r="Q81" i="8"/>
  <c r="K79" i="8" a="1"/>
  <c r="K79" i="8" s="1"/>
  <c r="E76" i="8" a="1"/>
  <c r="E76" i="8" s="1"/>
  <c r="C19" i="8"/>
  <c r="N122" i="8"/>
  <c r="P112" i="8"/>
  <c r="Q109" i="8"/>
  <c r="C101" i="8"/>
  <c r="B97" i="8"/>
  <c r="L92" i="8"/>
  <c r="C55" i="8"/>
  <c r="C45" i="8"/>
  <c r="N119" i="8"/>
  <c r="F108" i="8"/>
  <c r="C104" i="8"/>
  <c r="F100" i="8"/>
  <c r="B55" i="8"/>
  <c r="B45" i="8"/>
  <c r="N39" i="8"/>
  <c r="L119" i="8"/>
  <c r="B108" i="8"/>
  <c r="C100" i="8"/>
  <c r="I110" i="8"/>
  <c r="K69" i="8" a="1"/>
  <c r="K69" i="8" s="1"/>
  <c r="K65" i="8" a="1"/>
  <c r="K65" i="8" s="1"/>
  <c r="N33" i="8"/>
  <c r="K124" i="8" a="1"/>
  <c r="K124" i="8" s="1"/>
  <c r="K121" i="8" a="1"/>
  <c r="K121" i="8" s="1"/>
  <c r="Q117" i="8"/>
  <c r="N114" i="8"/>
  <c r="H113" i="8" a="1"/>
  <c r="H113" i="8" s="1"/>
  <c r="H112" i="8" a="1"/>
  <c r="H112" i="8" s="1"/>
  <c r="F110" i="8"/>
  <c r="K107" i="8" a="1"/>
  <c r="K107" i="8" s="1"/>
  <c r="N102" i="8"/>
  <c r="C97" i="8"/>
  <c r="N95" i="8"/>
  <c r="E28" i="2"/>
  <c r="Q88" i="8"/>
  <c r="P87" i="8"/>
  <c r="O82" i="8"/>
  <c r="E75" i="8" a="1"/>
  <c r="E75" i="8" s="1"/>
  <c r="O70" i="8"/>
  <c r="I69" i="8"/>
  <c r="C65" i="8"/>
  <c r="N61" i="8"/>
  <c r="N48" i="8"/>
  <c r="C33" i="8"/>
  <c r="N12" i="8"/>
  <c r="I124" i="8"/>
  <c r="F121" i="8"/>
  <c r="P117" i="8"/>
  <c r="L114" i="8"/>
  <c r="F113" i="8"/>
  <c r="F112" i="8"/>
  <c r="E110" i="8" a="1"/>
  <c r="E110" i="8" s="1"/>
  <c r="E107" i="8" a="1"/>
  <c r="E107" i="8" s="1"/>
  <c r="L102" i="8"/>
  <c r="Q100" i="8"/>
  <c r="P98" i="8"/>
  <c r="H95" i="8" a="1"/>
  <c r="H95" i="8" s="1"/>
  <c r="P88" i="8"/>
  <c r="O87" i="8"/>
  <c r="Q84" i="8"/>
  <c r="N82" i="8"/>
  <c r="C75" i="8"/>
  <c r="N70" i="8"/>
  <c r="F69" i="8"/>
  <c r="B65" i="8"/>
  <c r="C48" i="8"/>
  <c r="N27" i="8"/>
  <c r="N16" i="8"/>
  <c r="N7" i="8"/>
  <c r="Q125" i="8"/>
  <c r="O117" i="8"/>
  <c r="E113" i="8" a="1"/>
  <c r="E113" i="8" s="1"/>
  <c r="C112" i="8"/>
  <c r="B110" i="8"/>
  <c r="Q108" i="8"/>
  <c r="E102" i="8" a="1"/>
  <c r="E102" i="8" s="1"/>
  <c r="P100" i="8"/>
  <c r="E95" i="8" a="1"/>
  <c r="E95" i="8" s="1"/>
  <c r="O125" i="8"/>
  <c r="N100" i="8"/>
  <c r="L70" i="8"/>
  <c r="P108" i="8"/>
  <c r="N88" i="8"/>
  <c r="L87" i="8"/>
  <c r="K84" i="8" a="1"/>
  <c r="K84" i="8" s="1"/>
  <c r="K70" i="8" a="1"/>
  <c r="K70" i="8" s="1"/>
  <c r="C69" i="8"/>
  <c r="C57" i="8"/>
  <c r="C36" i="8"/>
  <c r="N26" i="8"/>
  <c r="C21" i="8"/>
  <c r="N125" i="8"/>
  <c r="L117" i="8"/>
  <c r="N108" i="8"/>
  <c r="L100" i="8"/>
  <c r="N96" i="8"/>
  <c r="N117" i="8"/>
  <c r="E29" i="2"/>
  <c r="K87" i="8" a="1"/>
  <c r="K87" i="8" s="1"/>
  <c r="H84" i="8" a="1"/>
  <c r="H84" i="8" s="1"/>
  <c r="P74" i="8"/>
  <c r="I70" i="8"/>
  <c r="N40" i="8"/>
  <c r="N11" i="8"/>
  <c r="K125" i="8" a="1"/>
  <c r="K125" i="8" s="1"/>
  <c r="K117" i="8" a="1"/>
  <c r="K117" i="8" s="1"/>
  <c r="K108" i="8" a="1"/>
  <c r="K108" i="8" s="1"/>
  <c r="K100" i="8" a="1"/>
  <c r="K100" i="8" s="1"/>
  <c r="K96" i="8" a="1"/>
  <c r="K96" i="8" s="1"/>
  <c r="M117" i="8"/>
  <c r="N87" i="8"/>
  <c r="I87" i="8"/>
  <c r="E70" i="8" a="1"/>
  <c r="E70" i="8" s="1"/>
  <c r="C40" i="8"/>
  <c r="N15" i="8"/>
  <c r="C11" i="8"/>
  <c r="I125" i="8"/>
  <c r="P122" i="8"/>
  <c r="P119" i="8"/>
  <c r="I117" i="8"/>
  <c r="Q110" i="8"/>
  <c r="I108" i="8"/>
  <c r="O101" i="8"/>
  <c r="I100" i="8"/>
  <c r="N97" i="8"/>
  <c r="I96" i="8"/>
  <c r="M109" i="8"/>
  <c r="L84" i="8"/>
  <c r="F84" i="8"/>
  <c r="B13" i="2"/>
  <c r="B11" i="2"/>
  <c r="I88" i="8"/>
  <c r="C70" i="8"/>
  <c r="N35" i="8"/>
  <c r="C5" i="8"/>
  <c r="H108" i="8" a="1"/>
  <c r="H108" i="8" s="1"/>
  <c r="L101" i="8"/>
  <c r="H100" i="8" a="1"/>
  <c r="H100" i="8" s="1"/>
  <c r="L97" i="8"/>
  <c r="P93" i="8"/>
  <c r="E34" i="2"/>
  <c r="E36" i="2"/>
  <c r="J14" i="9"/>
  <c r="B6" i="11"/>
  <c r="G5" i="8"/>
  <c r="I5" i="8" s="1"/>
  <c r="B55" i="3"/>
  <c r="G67" i="8"/>
  <c r="D67" i="8"/>
  <c r="M67" i="8"/>
  <c r="B67" i="8"/>
  <c r="J67" i="8"/>
  <c r="I103" i="8"/>
  <c r="G103" i="8"/>
  <c r="D103" i="8"/>
  <c r="M103" i="8"/>
  <c r="H103" i="8" a="1"/>
  <c r="H103" i="8" s="1"/>
  <c r="J103" i="8"/>
  <c r="E121" i="8" a="1"/>
  <c r="E121" i="8" s="1"/>
  <c r="J121" i="8"/>
  <c r="N121" i="8"/>
  <c r="G121" i="8"/>
  <c r="D121" i="8"/>
  <c r="C57" i="2"/>
  <c r="B37" i="2"/>
  <c r="O85" i="8"/>
  <c r="J85" i="8"/>
  <c r="G85" i="8"/>
  <c r="D85" i="8"/>
  <c r="K83" i="8" a="1"/>
  <c r="K83" i="8" s="1"/>
  <c r="K78" i="8" a="1"/>
  <c r="K78" i="8" s="1"/>
  <c r="K75" i="8" a="1"/>
  <c r="K75" i="8" s="1"/>
  <c r="I71" i="8"/>
  <c r="G71" i="8"/>
  <c r="D71" i="8"/>
  <c r="L71" i="8"/>
  <c r="M71" i="8"/>
  <c r="J71" i="8"/>
  <c r="P67" i="8"/>
  <c r="N47" i="8"/>
  <c r="M125" i="8"/>
  <c r="J125" i="8"/>
  <c r="L125" i="8"/>
  <c r="G125" i="8"/>
  <c r="D125" i="8"/>
  <c r="M124" i="8"/>
  <c r="N124" i="8"/>
  <c r="J124" i="8"/>
  <c r="G124" i="8"/>
  <c r="D124" i="8"/>
  <c r="C122" i="8"/>
  <c r="J122" i="8"/>
  <c r="G122" i="8"/>
  <c r="D122" i="8"/>
  <c r="Q122" i="8"/>
  <c r="M122" i="8"/>
  <c r="I120" i="8"/>
  <c r="F119" i="8"/>
  <c r="G119" i="8"/>
  <c r="D119" i="8"/>
  <c r="B119" i="8"/>
  <c r="M119" i="8"/>
  <c r="J119" i="8"/>
  <c r="C111" i="8"/>
  <c r="G111" i="8"/>
  <c r="M111" i="8"/>
  <c r="D111" i="8"/>
  <c r="J111" i="8"/>
  <c r="C98" i="8"/>
  <c r="J98" i="8"/>
  <c r="G98" i="8"/>
  <c r="D98" i="8"/>
  <c r="M98" i="8"/>
  <c r="M70" i="8"/>
  <c r="I115" i="8"/>
  <c r="G115" i="8"/>
  <c r="D115" i="8"/>
  <c r="M115" i="8"/>
  <c r="J115" i="8"/>
  <c r="C63" i="2"/>
  <c r="C29" i="2"/>
  <c r="B16" i="5" s="1"/>
  <c r="B8" i="2"/>
  <c r="B6" i="3" s="1"/>
  <c r="H83" i="8" a="1"/>
  <c r="H83" i="8" s="1"/>
  <c r="H78" i="8" a="1"/>
  <c r="H78" i="8" s="1"/>
  <c r="I75" i="8"/>
  <c r="F73" i="8"/>
  <c r="J73" i="8"/>
  <c r="G73" i="8"/>
  <c r="D73" i="8"/>
  <c r="K67" i="8" a="1"/>
  <c r="K67" i="8" s="1"/>
  <c r="J66" i="8"/>
  <c r="G66" i="8"/>
  <c r="M66" i="8"/>
  <c r="D66" i="8"/>
  <c r="C42" i="8"/>
  <c r="C22" i="8"/>
  <c r="Q121" i="8"/>
  <c r="F120" i="8"/>
  <c r="B118" i="8"/>
  <c r="J118" i="8"/>
  <c r="G118" i="8"/>
  <c r="D118" i="8"/>
  <c r="M116" i="8"/>
  <c r="L116" i="8"/>
  <c r="J116" i="8"/>
  <c r="G116" i="8"/>
  <c r="D116" i="8"/>
  <c r="P90" i="8"/>
  <c r="J90" i="8"/>
  <c r="G90" i="8"/>
  <c r="M90" i="8"/>
  <c r="D90" i="8"/>
  <c r="N90" i="8"/>
  <c r="M89" i="8"/>
  <c r="J89" i="8"/>
  <c r="I89" i="8"/>
  <c r="G89" i="8"/>
  <c r="D89" i="8"/>
  <c r="M69" i="8"/>
  <c r="B7" i="7"/>
  <c r="B15" i="6"/>
  <c r="B18" i="6" s="1"/>
  <c r="C55" i="2"/>
  <c r="H29" i="2"/>
  <c r="C96" i="3" s="1"/>
  <c r="F83" i="8"/>
  <c r="P82" i="8"/>
  <c r="J82" i="8"/>
  <c r="G82" i="8"/>
  <c r="D82" i="8"/>
  <c r="C82" i="8"/>
  <c r="J81" i="8"/>
  <c r="E81" i="8" a="1"/>
  <c r="E81" i="8" s="1"/>
  <c r="G81" i="8"/>
  <c r="D81" i="8"/>
  <c r="C78" i="8"/>
  <c r="H75" i="8" a="1"/>
  <c r="H75" i="8" s="1"/>
  <c r="I67" i="8"/>
  <c r="B51" i="8"/>
  <c r="C51" i="8"/>
  <c r="C46" i="8"/>
  <c r="N46" i="8"/>
  <c r="N41" i="8"/>
  <c r="N29" i="8"/>
  <c r="N21" i="8"/>
  <c r="C13" i="8"/>
  <c r="N9" i="8"/>
  <c r="P125" i="8"/>
  <c r="P124" i="8"/>
  <c r="C123" i="8"/>
  <c r="G123" i="8"/>
  <c r="M123" i="8"/>
  <c r="D123" i="8"/>
  <c r="J123" i="8"/>
  <c r="L121" i="8"/>
  <c r="K115" i="8" a="1"/>
  <c r="K115" i="8" s="1"/>
  <c r="F107" i="8"/>
  <c r="G107" i="8"/>
  <c r="D107" i="8"/>
  <c r="M107" i="8"/>
  <c r="J107" i="8"/>
  <c r="M104" i="8"/>
  <c r="J104" i="8"/>
  <c r="G104" i="8"/>
  <c r="D104" i="8"/>
  <c r="Q98" i="8"/>
  <c r="Q89" i="8"/>
  <c r="F72" i="8"/>
  <c r="J72" i="8"/>
  <c r="G72" i="8"/>
  <c r="M72" i="8"/>
  <c r="D72" i="8"/>
  <c r="B83" i="1"/>
  <c r="C54" i="2"/>
  <c r="B72" i="8"/>
  <c r="F67" i="8"/>
  <c r="C41" i="8"/>
  <c r="B37" i="8"/>
  <c r="C29" i="8"/>
  <c r="H120" i="8" a="1"/>
  <c r="H120" i="8" s="1"/>
  <c r="J120" i="8"/>
  <c r="G120" i="8"/>
  <c r="M120" i="8"/>
  <c r="D120" i="8"/>
  <c r="H115" i="8" a="1"/>
  <c r="H115" i="8" s="1"/>
  <c r="B106" i="8"/>
  <c r="J106" i="8"/>
  <c r="G106" i="8"/>
  <c r="D106" i="8"/>
  <c r="K103" i="8" a="1"/>
  <c r="K103" i="8" s="1"/>
  <c r="M106" i="8"/>
  <c r="F95" i="8"/>
  <c r="G95" i="8"/>
  <c r="D95" i="8"/>
  <c r="K95" i="8" a="1"/>
  <c r="K95" i="8" s="1"/>
  <c r="M95" i="8"/>
  <c r="J95" i="8"/>
  <c r="M92" i="8"/>
  <c r="J92" i="8"/>
  <c r="G92" i="8"/>
  <c r="D92" i="8"/>
  <c r="O89" i="8"/>
  <c r="B7" i="6"/>
  <c r="M105" i="8"/>
  <c r="N105" i="8"/>
  <c r="O102" i="8"/>
  <c r="I101" i="8"/>
  <c r="N98" i="8"/>
  <c r="B94" i="8"/>
  <c r="J94" i="8"/>
  <c r="G94" i="8"/>
  <c r="D94" i="8"/>
  <c r="K91" i="8" a="1"/>
  <c r="K91" i="8" s="1"/>
  <c r="N89" i="8"/>
  <c r="B7" i="9"/>
  <c r="B8" i="9" s="1"/>
  <c r="B18" i="11" s="1"/>
  <c r="E5" i="9"/>
  <c r="E7" i="9" s="1"/>
  <c r="E8" i="9" s="1"/>
  <c r="P96" i="8"/>
  <c r="J96" i="8"/>
  <c r="G96" i="8"/>
  <c r="M96" i="8"/>
  <c r="D96" i="8"/>
  <c r="Q93" i="8"/>
  <c r="L89" i="8"/>
  <c r="M94" i="8"/>
  <c r="O107" i="8"/>
  <c r="I105" i="8"/>
  <c r="I98" i="8"/>
  <c r="I91" i="8"/>
  <c r="G91" i="8"/>
  <c r="D91" i="8"/>
  <c r="M91" i="8"/>
  <c r="J91" i="8"/>
  <c r="K89" i="8" a="1"/>
  <c r="K89" i="8" s="1"/>
  <c r="M93" i="8"/>
  <c r="J84" i="8"/>
  <c r="G84" i="8"/>
  <c r="M84" i="8"/>
  <c r="D84" i="8"/>
  <c r="L82" i="8"/>
  <c r="K81" i="8" a="1"/>
  <c r="K81" i="8" s="1"/>
  <c r="M80" i="8"/>
  <c r="J80" i="8"/>
  <c r="G80" i="8"/>
  <c r="D80" i="8"/>
  <c r="N77" i="8"/>
  <c r="M77" i="8"/>
  <c r="J77" i="8"/>
  <c r="G77" i="8"/>
  <c r="D77" i="8"/>
  <c r="M76" i="8"/>
  <c r="P76" i="8"/>
  <c r="J76" i="8"/>
  <c r="G76" i="8"/>
  <c r="D76" i="8"/>
  <c r="H71" i="8" a="1"/>
  <c r="H71" i="8" s="1"/>
  <c r="K66" i="8" a="1"/>
  <c r="K66" i="8" s="1"/>
  <c r="F125" i="8"/>
  <c r="F124" i="8"/>
  <c r="H122" i="8" a="1"/>
  <c r="H122" i="8" s="1"/>
  <c r="Q120" i="8"/>
  <c r="K119" i="8" a="1"/>
  <c r="K119" i="8" s="1"/>
  <c r="E109" i="8" a="1"/>
  <c r="E109" i="8" s="1"/>
  <c r="J109" i="8"/>
  <c r="F109" i="8"/>
  <c r="G109" i="8"/>
  <c r="D109" i="8"/>
  <c r="N107" i="8"/>
  <c r="K102" i="8" a="1"/>
  <c r="K102" i="8" s="1"/>
  <c r="E101" i="8" a="1"/>
  <c r="E101" i="8" s="1"/>
  <c r="E100" i="8" a="1"/>
  <c r="E100" i="8" s="1"/>
  <c r="H98" i="8" a="1"/>
  <c r="H98" i="8" s="1"/>
  <c r="O95" i="8"/>
  <c r="N93" i="8"/>
  <c r="O90" i="8"/>
  <c r="H89" i="8" a="1"/>
  <c r="H89" i="8" s="1"/>
  <c r="M85" i="8"/>
  <c r="K82" i="8" a="1"/>
  <c r="K82" i="8" s="1"/>
  <c r="I81" i="8"/>
  <c r="I74" i="8"/>
  <c r="J74" i="8"/>
  <c r="G74" i="8"/>
  <c r="D74" i="8"/>
  <c r="F74" i="8"/>
  <c r="M74" i="8"/>
  <c r="F71" i="8"/>
  <c r="P70" i="8"/>
  <c r="J70" i="8"/>
  <c r="G70" i="8"/>
  <c r="D70" i="8"/>
  <c r="H70" i="8" a="1"/>
  <c r="H70" i="8" s="1"/>
  <c r="H66" i="8" a="1"/>
  <c r="H66" i="8" s="1"/>
  <c r="N52" i="8"/>
  <c r="N19" i="8"/>
  <c r="E125" i="8" a="1"/>
  <c r="E125" i="8" s="1"/>
  <c r="E124" i="8" a="1"/>
  <c r="E124" i="8" s="1"/>
  <c r="F122" i="8"/>
  <c r="P120" i="8"/>
  <c r="I119" i="8"/>
  <c r="H105" i="8" a="1"/>
  <c r="H105" i="8" s="1"/>
  <c r="J105" i="8"/>
  <c r="P105" i="8"/>
  <c r="G105" i="8"/>
  <c r="D105" i="8"/>
  <c r="F98" i="8"/>
  <c r="L90" i="8"/>
  <c r="F89" i="8"/>
  <c r="B19" i="3"/>
  <c r="B74" i="3" s="1"/>
  <c r="B14" i="4"/>
  <c r="B15" i="4" s="1"/>
  <c r="M82" i="8"/>
  <c r="J78" i="8"/>
  <c r="G78" i="8"/>
  <c r="M78" i="8"/>
  <c r="D78" i="8"/>
  <c r="I83" i="8"/>
  <c r="G83" i="8"/>
  <c r="D83" i="8"/>
  <c r="M83" i="8"/>
  <c r="J83" i="8"/>
  <c r="F75" i="8"/>
  <c r="G75" i="8"/>
  <c r="M75" i="8"/>
  <c r="D75" i="8"/>
  <c r="P75" i="8"/>
  <c r="J75" i="8"/>
  <c r="M65" i="8"/>
  <c r="J65" i="8"/>
  <c r="L65" i="8"/>
  <c r="G65" i="8"/>
  <c r="D65" i="8"/>
  <c r="C61" i="2"/>
  <c r="C60" i="2"/>
  <c r="J69" i="8"/>
  <c r="H69" i="8" a="1"/>
  <c r="H69" i="8" s="1"/>
  <c r="G69" i="8"/>
  <c r="D69" i="8"/>
  <c r="C59" i="2"/>
  <c r="F87" i="8"/>
  <c r="G87" i="8"/>
  <c r="M87" i="8"/>
  <c r="D87" i="8"/>
  <c r="J87" i="8"/>
  <c r="N83" i="8"/>
  <c r="I82" i="8"/>
  <c r="H81" i="8" a="1"/>
  <c r="H81" i="8" s="1"/>
  <c r="O76" i="8"/>
  <c r="N75" i="8"/>
  <c r="O73" i="8"/>
  <c r="C71" i="8"/>
  <c r="Q69" i="8"/>
  <c r="O68" i="8"/>
  <c r="M68" i="8"/>
  <c r="J68" i="8"/>
  <c r="G68" i="8"/>
  <c r="D68" i="8"/>
  <c r="F66" i="8"/>
  <c r="N56" i="8"/>
  <c r="C52" i="8"/>
  <c r="C31" i="8"/>
  <c r="N23" i="8"/>
  <c r="C125" i="8"/>
  <c r="C124" i="8"/>
  <c r="E122" i="8" a="1"/>
  <c r="E122" i="8" s="1"/>
  <c r="N120" i="8"/>
  <c r="H119" i="8" a="1"/>
  <c r="H119" i="8" s="1"/>
  <c r="H117" i="8" a="1"/>
  <c r="H117" i="8" s="1"/>
  <c r="J117" i="8"/>
  <c r="G117" i="8"/>
  <c r="D117" i="8"/>
  <c r="P114" i="8"/>
  <c r="J114" i="8"/>
  <c r="G114" i="8"/>
  <c r="M114" i="8"/>
  <c r="D114" i="8"/>
  <c r="C114" i="8"/>
  <c r="M113" i="8"/>
  <c r="J113" i="8"/>
  <c r="C113" i="8"/>
  <c r="G113" i="8"/>
  <c r="D113" i="8"/>
  <c r="M112" i="8"/>
  <c r="E112" i="8" a="1"/>
  <c r="E112" i="8" s="1"/>
  <c r="J112" i="8"/>
  <c r="G112" i="8"/>
  <c r="D112" i="8"/>
  <c r="C110" i="8"/>
  <c r="J110" i="8"/>
  <c r="G110" i="8"/>
  <c r="D110" i="8"/>
  <c r="H110" i="8" a="1"/>
  <c r="H110" i="8" s="1"/>
  <c r="M110" i="8"/>
  <c r="I107" i="8"/>
  <c r="L104" i="8"/>
  <c r="E98" i="8" a="1"/>
  <c r="E98" i="8" s="1"/>
  <c r="E97" i="8" a="1"/>
  <c r="E97" i="8" s="1"/>
  <c r="J97" i="8"/>
  <c r="Q97" i="8"/>
  <c r="G97" i="8"/>
  <c r="D97" i="8"/>
  <c r="L95" i="8"/>
  <c r="K90" i="8" a="1"/>
  <c r="K90" i="8" s="1"/>
  <c r="E89" i="8" a="1"/>
  <c r="E89" i="8" s="1"/>
  <c r="M81" i="8"/>
  <c r="C62" i="2"/>
  <c r="D5" i="8"/>
  <c r="D6" i="8" s="1"/>
  <c r="B31" i="2"/>
  <c r="C58" i="2"/>
  <c r="M88" i="8"/>
  <c r="J88" i="8"/>
  <c r="G88" i="8"/>
  <c r="D88" i="8"/>
  <c r="E86" i="8" a="1"/>
  <c r="E86" i="8" s="1"/>
  <c r="J86" i="8"/>
  <c r="G86" i="8"/>
  <c r="D86" i="8"/>
  <c r="M86" i="8"/>
  <c r="L83" i="8"/>
  <c r="H82" i="8" a="1"/>
  <c r="H82" i="8" s="1"/>
  <c r="F81" i="8"/>
  <c r="Q79" i="8"/>
  <c r="G79" i="8"/>
  <c r="D79" i="8"/>
  <c r="M79" i="8"/>
  <c r="B79" i="8"/>
  <c r="J79" i="8"/>
  <c r="N76" i="8"/>
  <c r="L75" i="8"/>
  <c r="E73" i="8" a="1"/>
  <c r="E73" i="8" s="1"/>
  <c r="B71" i="8"/>
  <c r="P69" i="8"/>
  <c r="Q67" i="8"/>
  <c r="C66" i="8"/>
  <c r="B52" i="8"/>
  <c r="B39" i="8"/>
  <c r="C35" i="8"/>
  <c r="C30" i="8"/>
  <c r="B27" i="8"/>
  <c r="N22" i="8"/>
  <c r="N14" i="8"/>
  <c r="N10" i="8"/>
  <c r="C6" i="8"/>
  <c r="B125" i="8"/>
  <c r="B124" i="8"/>
  <c r="B122" i="8"/>
  <c r="K120" i="8" a="1"/>
  <c r="K120" i="8" s="1"/>
  <c r="E119" i="8" a="1"/>
  <c r="E119" i="8" s="1"/>
  <c r="C116" i="8"/>
  <c r="B111" i="8"/>
  <c r="H107" i="8" a="1"/>
  <c r="H107" i="8" s="1"/>
  <c r="K104" i="8" a="1"/>
  <c r="K104" i="8" s="1"/>
  <c r="P102" i="8"/>
  <c r="J102" i="8"/>
  <c r="G102" i="8"/>
  <c r="M102" i="8"/>
  <c r="D102" i="8"/>
  <c r="M101" i="8"/>
  <c r="J101" i="8"/>
  <c r="N101" i="8"/>
  <c r="G101" i="8"/>
  <c r="D101" i="8"/>
  <c r="M100" i="8"/>
  <c r="O100" i="8"/>
  <c r="J100" i="8"/>
  <c r="G100" i="8"/>
  <c r="D100" i="8"/>
  <c r="B98" i="8"/>
  <c r="I95" i="8"/>
  <c r="H93" i="8" a="1"/>
  <c r="H93" i="8" s="1"/>
  <c r="J93" i="8"/>
  <c r="I93" i="8"/>
  <c r="G93" i="8"/>
  <c r="D93" i="8"/>
  <c r="E90" i="8" a="1"/>
  <c r="E90" i="8" s="1"/>
  <c r="C89" i="8"/>
  <c r="M121" i="8"/>
  <c r="M73" i="8"/>
  <c r="J99" i="8"/>
  <c r="D108" i="8"/>
  <c r="M108" i="8"/>
  <c r="G108" i="8"/>
  <c r="D99" i="8"/>
  <c r="M99" i="8"/>
  <c r="G99" i="8"/>
  <c r="F29" i="2"/>
  <c r="D16" i="5" s="1"/>
  <c r="G7" i="5" s="1"/>
  <c r="B21" i="2"/>
  <c r="B70" i="2" s="1"/>
  <c r="C30" i="2"/>
  <c r="B64" i="3" s="1"/>
  <c r="D17" i="5"/>
  <c r="G8" i="5" s="1"/>
  <c r="B97" i="3"/>
  <c r="C37" i="2"/>
  <c r="F8" i="4" s="1"/>
  <c r="B66" i="3"/>
  <c r="D15" i="5"/>
  <c r="G6" i="5" s="1"/>
  <c r="I29" i="2"/>
  <c r="D96" i="3" s="1"/>
  <c r="B62" i="3"/>
  <c r="I30" i="2"/>
  <c r="D97" i="3" s="1"/>
  <c r="B96" i="3"/>
  <c r="B95" i="3"/>
  <c r="B28" i="9"/>
  <c r="B30" i="9"/>
  <c r="B27" i="9"/>
  <c r="B29" i="9"/>
  <c r="K106" i="8" a="1"/>
  <c r="K106" i="8" s="1"/>
  <c r="K123" i="8" a="1"/>
  <c r="K123" i="8" s="1"/>
  <c r="I106" i="8"/>
  <c r="I123" i="8"/>
  <c r="C119" i="8"/>
  <c r="E117" i="8" a="1"/>
  <c r="E117" i="8" s="1"/>
  <c r="Q115" i="8"/>
  <c r="F115" i="8"/>
  <c r="B114" i="8"/>
  <c r="I111" i="8"/>
  <c r="L107" i="8"/>
  <c r="C107" i="8"/>
  <c r="O105" i="8"/>
  <c r="E105" i="8" a="1"/>
  <c r="E105" i="8" s="1"/>
  <c r="Q103" i="8"/>
  <c r="F103" i="8"/>
  <c r="B102" i="8"/>
  <c r="I99" i="8"/>
  <c r="O93" i="8"/>
  <c r="E93" i="8" a="1"/>
  <c r="E93" i="8" s="1"/>
  <c r="Q91" i="8"/>
  <c r="F91" i="8"/>
  <c r="B90" i="8"/>
  <c r="K118" i="8" a="1"/>
  <c r="K118" i="8" s="1"/>
  <c r="K111" i="8" a="1"/>
  <c r="K111" i="8" s="1"/>
  <c r="H118" i="8" a="1"/>
  <c r="H118" i="8" s="1"/>
  <c r="I116" i="8"/>
  <c r="P115" i="8"/>
  <c r="H106" i="8" a="1"/>
  <c r="H106" i="8" s="1"/>
  <c r="I104" i="8"/>
  <c r="P103" i="8"/>
  <c r="H94" i="8" a="1"/>
  <c r="H94" i="8" s="1"/>
  <c r="I92" i="8"/>
  <c r="P91" i="8"/>
  <c r="H123" i="8" a="1"/>
  <c r="H123" i="8" s="1"/>
  <c r="I121" i="8"/>
  <c r="C117" i="8"/>
  <c r="O115" i="8"/>
  <c r="E115" i="8" a="1"/>
  <c r="E115" i="8" s="1"/>
  <c r="H111" i="8" a="1"/>
  <c r="H111" i="8" s="1"/>
  <c r="L105" i="8"/>
  <c r="C105" i="8"/>
  <c r="O103" i="8"/>
  <c r="E103" i="8" a="1"/>
  <c r="E103" i="8" s="1"/>
  <c r="H99" i="8" a="1"/>
  <c r="H99" i="8" s="1"/>
  <c r="L93" i="8"/>
  <c r="C93" i="8"/>
  <c r="O91" i="8"/>
  <c r="E91" i="8" a="1"/>
  <c r="E91" i="8" s="1"/>
  <c r="L122" i="8"/>
  <c r="O120" i="8"/>
  <c r="E120" i="8" a="1"/>
  <c r="E120" i="8" s="1"/>
  <c r="Q118" i="8"/>
  <c r="F118" i="8"/>
  <c r="B117" i="8"/>
  <c r="H116" i="8" a="1"/>
  <c r="H116" i="8" s="1"/>
  <c r="N115" i="8"/>
  <c r="I114" i="8"/>
  <c r="L110" i="8"/>
  <c r="O108" i="8"/>
  <c r="E108" i="8" a="1"/>
  <c r="E108" i="8" s="1"/>
  <c r="Q106" i="8"/>
  <c r="F106" i="8"/>
  <c r="B105" i="8"/>
  <c r="H104" i="8" a="1"/>
  <c r="H104" i="8" s="1"/>
  <c r="N103" i="8"/>
  <c r="I102" i="8"/>
  <c r="L98" i="8"/>
  <c r="O96" i="8"/>
  <c r="E96" i="8" a="1"/>
  <c r="E96" i="8" s="1"/>
  <c r="Q94" i="8"/>
  <c r="F94" i="8"/>
  <c r="B93" i="8"/>
  <c r="H92" i="8" a="1"/>
  <c r="H92" i="8" s="1"/>
  <c r="N91" i="8"/>
  <c r="I90" i="8"/>
  <c r="K94" i="8" a="1"/>
  <c r="K94" i="8" s="1"/>
  <c r="I94" i="8"/>
  <c r="Q123" i="8"/>
  <c r="F123" i="8"/>
  <c r="H121" i="8" a="1"/>
  <c r="H121" i="8" s="1"/>
  <c r="P118" i="8"/>
  <c r="L115" i="8"/>
  <c r="C115" i="8"/>
  <c r="Q111" i="8"/>
  <c r="F111" i="8"/>
  <c r="P106" i="8"/>
  <c r="L103" i="8"/>
  <c r="C103" i="8"/>
  <c r="Q99" i="8"/>
  <c r="F99" i="8"/>
  <c r="P94" i="8"/>
  <c r="L91" i="8"/>
  <c r="C91" i="8"/>
  <c r="P123" i="8"/>
  <c r="L120" i="8"/>
  <c r="C120" i="8"/>
  <c r="O118" i="8"/>
  <c r="E118" i="8" a="1"/>
  <c r="E118" i="8" s="1"/>
  <c r="Q116" i="8"/>
  <c r="F116" i="8"/>
  <c r="B115" i="8"/>
  <c r="H114" i="8" a="1"/>
  <c r="H114" i="8" s="1"/>
  <c r="P111" i="8"/>
  <c r="L108" i="8"/>
  <c r="C108" i="8"/>
  <c r="O106" i="8"/>
  <c r="E106" i="8" a="1"/>
  <c r="E106" i="8" s="1"/>
  <c r="Q104" i="8"/>
  <c r="F104" i="8"/>
  <c r="B103" i="8"/>
  <c r="H102" i="8" a="1"/>
  <c r="H102" i="8" s="1"/>
  <c r="P99" i="8"/>
  <c r="L96" i="8"/>
  <c r="C96" i="8"/>
  <c r="O94" i="8"/>
  <c r="E94" i="8" a="1"/>
  <c r="E94" i="8" s="1"/>
  <c r="Q92" i="8"/>
  <c r="F92" i="8"/>
  <c r="B91" i="8"/>
  <c r="H90" i="8" a="1"/>
  <c r="H90" i="8" s="1"/>
  <c r="O123" i="8"/>
  <c r="E123" i="8" a="1"/>
  <c r="E123" i="8" s="1"/>
  <c r="N118" i="8"/>
  <c r="P116" i="8"/>
  <c r="O111" i="8"/>
  <c r="E111" i="8" a="1"/>
  <c r="E111" i="8" s="1"/>
  <c r="N106" i="8"/>
  <c r="P104" i="8"/>
  <c r="O99" i="8"/>
  <c r="E99" i="8" a="1"/>
  <c r="E99" i="8" s="1"/>
  <c r="N94" i="8"/>
  <c r="P92" i="8"/>
  <c r="I118" i="8"/>
  <c r="N123" i="8"/>
  <c r="P121" i="8"/>
  <c r="L118" i="8"/>
  <c r="C118" i="8"/>
  <c r="O116" i="8"/>
  <c r="E116" i="8" a="1"/>
  <c r="E116" i="8" s="1"/>
  <c r="Q114" i="8"/>
  <c r="F114" i="8"/>
  <c r="N111" i="8"/>
  <c r="L106" i="8"/>
  <c r="C106" i="8"/>
  <c r="O104" i="8"/>
  <c r="E104" i="8" a="1"/>
  <c r="E104" i="8" s="1"/>
  <c r="Q102" i="8"/>
  <c r="F102" i="8"/>
  <c r="N99" i="8"/>
  <c r="L94" i="8"/>
  <c r="C94" i="8"/>
  <c r="O92" i="8"/>
  <c r="E92" i="8" a="1"/>
  <c r="E92" i="8" s="1"/>
  <c r="Q90" i="8"/>
  <c r="F90" i="8"/>
  <c r="K99" i="8" a="1"/>
  <c r="K99" i="8" s="1"/>
  <c r="K116" i="8" a="1"/>
  <c r="K116" i="8" s="1"/>
  <c r="L123" i="8"/>
  <c r="O121" i="8"/>
  <c r="Q119" i="8"/>
  <c r="N116" i="8"/>
  <c r="L111" i="8"/>
  <c r="O109" i="8"/>
  <c r="Q107" i="8"/>
  <c r="N104" i="8"/>
  <c r="L99" i="8"/>
  <c r="O97" i="8"/>
  <c r="Q95" i="8"/>
  <c r="N92" i="8"/>
  <c r="Q85" i="8"/>
  <c r="I86" i="8"/>
  <c r="P68" i="8"/>
  <c r="I68" i="8"/>
  <c r="F85" i="8"/>
  <c r="I78" i="8"/>
  <c r="N78" i="8"/>
  <c r="E78" i="8" a="1"/>
  <c r="E78" i="8" s="1"/>
  <c r="O78" i="8"/>
  <c r="O74" i="8"/>
  <c r="Q68" i="8"/>
  <c r="Q86" i="8"/>
  <c r="E77" i="8" a="1"/>
  <c r="E77" i="8" s="1"/>
  <c r="O77" i="8"/>
  <c r="P77" i="8"/>
  <c r="F77" i="8"/>
  <c r="Q77" i="8"/>
  <c r="I77" i="8"/>
  <c r="F68" i="8"/>
  <c r="H80" i="8" a="1"/>
  <c r="H80" i="8" s="1"/>
  <c r="B80" i="8"/>
  <c r="C80" i="8"/>
  <c r="L80" i="8"/>
  <c r="E68" i="8" a="1"/>
  <c r="E68" i="8" s="1"/>
  <c r="E65" i="8" a="1"/>
  <c r="E65" i="8" s="1"/>
  <c r="O65" i="8"/>
  <c r="P65" i="8"/>
  <c r="F65" i="8"/>
  <c r="Q65" i="8"/>
  <c r="I65" i="8"/>
  <c r="B62" i="8"/>
  <c r="C62" i="8"/>
  <c r="N62" i="8"/>
  <c r="K72" i="8" a="1"/>
  <c r="K72" i="8" s="1"/>
  <c r="C79" i="8"/>
  <c r="L79" i="8"/>
  <c r="N79" i="8"/>
  <c r="E79" i="8" a="1"/>
  <c r="E79" i="8" s="1"/>
  <c r="O79" i="8"/>
  <c r="H79" i="8" a="1"/>
  <c r="H79" i="8" s="1"/>
  <c r="K74" i="8" a="1"/>
  <c r="K74" i="8" s="1"/>
  <c r="K73" i="8" a="1"/>
  <c r="K73" i="8" s="1"/>
  <c r="F86" i="8"/>
  <c r="Q78" i="8"/>
  <c r="H72" i="8" a="1"/>
  <c r="H72" i="8" s="1"/>
  <c r="C25" i="8"/>
  <c r="N25" i="8"/>
  <c r="B25" i="8"/>
  <c r="E85" i="8" a="1"/>
  <c r="E85" i="8" s="1"/>
  <c r="Q80" i="8"/>
  <c r="P78" i="8"/>
  <c r="L77" i="8"/>
  <c r="C49" i="8"/>
  <c r="N49" i="8"/>
  <c r="B49" i="8"/>
  <c r="B85" i="8"/>
  <c r="N84" i="8"/>
  <c r="E84" i="8" a="1"/>
  <c r="E84" i="8" s="1"/>
  <c r="O84" i="8"/>
  <c r="P84" i="8"/>
  <c r="I84" i="8"/>
  <c r="P80" i="8"/>
  <c r="P79" i="8"/>
  <c r="L78" i="8"/>
  <c r="C67" i="8"/>
  <c r="L67" i="8"/>
  <c r="N67" i="8"/>
  <c r="E67" i="8" a="1"/>
  <c r="E67" i="8" s="1"/>
  <c r="O67" i="8"/>
  <c r="H67" i="8" a="1"/>
  <c r="H67" i="8" s="1"/>
  <c r="I66" i="8"/>
  <c r="N66" i="8"/>
  <c r="E66" i="8" a="1"/>
  <c r="E66" i="8" s="1"/>
  <c r="O66" i="8"/>
  <c r="B53" i="8"/>
  <c r="B86" i="8"/>
  <c r="C86" i="8"/>
  <c r="L86" i="8"/>
  <c r="N86" i="8"/>
  <c r="H86" i="8" a="1"/>
  <c r="H86" i="8" s="1"/>
  <c r="P85" i="8"/>
  <c r="B47" i="8"/>
  <c r="C47" i="8"/>
  <c r="H73" i="8" a="1"/>
  <c r="H73" i="8" s="1"/>
  <c r="I73" i="8"/>
  <c r="C73" i="8"/>
  <c r="L73" i="8"/>
  <c r="N73" i="8"/>
  <c r="B56" i="8"/>
  <c r="C56" i="8"/>
  <c r="N18" i="8"/>
  <c r="C18" i="8"/>
  <c r="H85" i="8" a="1"/>
  <c r="H85" i="8" s="1"/>
  <c r="I85" i="8"/>
  <c r="C85" i="8"/>
  <c r="L85" i="8"/>
  <c r="N85" i="8"/>
  <c r="H68" i="8" a="1"/>
  <c r="H68" i="8" s="1"/>
  <c r="B68" i="8"/>
  <c r="C68" i="8"/>
  <c r="L68" i="8"/>
  <c r="N72" i="8"/>
  <c r="E72" i="8" a="1"/>
  <c r="E72" i="8" s="1"/>
  <c r="O72" i="8"/>
  <c r="P72" i="8"/>
  <c r="I72" i="8"/>
  <c r="P86" i="8"/>
  <c r="B74" i="8"/>
  <c r="C74" i="8"/>
  <c r="L74" i="8"/>
  <c r="N74" i="8"/>
  <c r="H74" i="8" a="1"/>
  <c r="H74" i="8" s="1"/>
  <c r="O86" i="8"/>
  <c r="F78" i="8"/>
  <c r="Q73" i="8"/>
  <c r="Q72" i="8"/>
  <c r="N68" i="8"/>
  <c r="K86" i="8" a="1"/>
  <c r="K86" i="8" s="1"/>
  <c r="K85" i="8" a="1"/>
  <c r="K85" i="8" s="1"/>
  <c r="F80" i="8"/>
  <c r="F79" i="8"/>
  <c r="C77" i="8"/>
  <c r="Q74" i="8"/>
  <c r="P73" i="8"/>
  <c r="L72" i="8"/>
  <c r="K68" i="8" a="1"/>
  <c r="K68" i="8" s="1"/>
  <c r="H65" i="8" a="1"/>
  <c r="H65" i="8" s="1"/>
  <c r="B8" i="8"/>
  <c r="C8" i="8"/>
  <c r="N8" i="8"/>
  <c r="P83" i="8"/>
  <c r="P71" i="8"/>
  <c r="O83" i="8"/>
  <c r="E83" i="8" a="1"/>
  <c r="E83" i="8" s="1"/>
  <c r="O71" i="8"/>
  <c r="E71" i="8" a="1"/>
  <c r="E71" i="8" s="1"/>
  <c r="C61" i="8"/>
  <c r="C37" i="8"/>
  <c r="N37" i="8"/>
  <c r="B38" i="8"/>
  <c r="N30" i="8"/>
  <c r="Q82" i="8"/>
  <c r="F82" i="8"/>
  <c r="Q70" i="8"/>
  <c r="F70" i="8"/>
  <c r="B44" i="8"/>
  <c r="C44" i="8"/>
  <c r="N44" i="8"/>
  <c r="N42" i="8"/>
  <c r="B20" i="8"/>
  <c r="C20" i="8"/>
  <c r="N20" i="8"/>
  <c r="Q87" i="8"/>
  <c r="Q75" i="8"/>
  <c r="N54" i="8"/>
  <c r="B32" i="8"/>
  <c r="C32" i="8"/>
  <c r="N32" i="8"/>
  <c r="C14" i="8"/>
  <c r="B26" i="8"/>
  <c r="B14" i="8"/>
  <c r="C58" i="8"/>
  <c r="B41" i="8"/>
  <c r="C34" i="8"/>
  <c r="B29" i="8"/>
  <c r="B17" i="8"/>
  <c r="C10" i="8"/>
  <c r="B5" i="8"/>
  <c r="N13" i="8"/>
  <c r="J5" i="8"/>
  <c r="J6" i="8" s="1"/>
  <c r="N6" i="8"/>
  <c r="E35" i="2"/>
  <c r="E31" i="2" l="1"/>
  <c r="B63" i="3"/>
  <c r="B50" i="3"/>
  <c r="E37" i="2"/>
  <c r="E39" i="2" s="1"/>
  <c r="F31" i="2"/>
  <c r="F39" i="2" s="1"/>
  <c r="B9" i="5" s="1"/>
  <c r="G3" i="5" s="1"/>
  <c r="G6" i="8"/>
  <c r="F2" i="4"/>
  <c r="B15" i="3"/>
  <c r="B12" i="2"/>
  <c r="B14" i="2" s="1"/>
  <c r="B16" i="3"/>
  <c r="F4" i="4"/>
  <c r="B17" i="5"/>
  <c r="B132" i="8" a="1"/>
  <c r="B132" i="8" s="1"/>
  <c r="J7" i="8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E15" i="9"/>
  <c r="M6" i="8"/>
  <c r="D7" i="8"/>
  <c r="E6" i="8" a="1"/>
  <c r="E6" i="8" s="1"/>
  <c r="F15" i="9" s="1"/>
  <c r="G15" i="9" s="1"/>
  <c r="H15" i="9" s="1"/>
  <c r="I15" i="9" s="1"/>
  <c r="C34" i="9" s="1"/>
  <c r="F6" i="8"/>
  <c r="O6" i="8"/>
  <c r="O5" i="8"/>
  <c r="E19" i="3"/>
  <c r="P5" i="8"/>
  <c r="B130" i="8" a="1"/>
  <c r="B130" i="8" s="1"/>
  <c r="H5" i="8" a="1"/>
  <c r="H5" i="8" s="1"/>
  <c r="B39" i="2"/>
  <c r="J15" i="9"/>
  <c r="K14" i="9" a="1"/>
  <c r="K14" i="9" s="1"/>
  <c r="L14" i="9" s="1"/>
  <c r="E5" i="8" a="1"/>
  <c r="E5" i="8" s="1"/>
  <c r="F14" i="9" s="1"/>
  <c r="G14" i="9" s="1"/>
  <c r="H14" i="9" s="1"/>
  <c r="I14" i="9" s="1"/>
  <c r="B128" i="8" a="1"/>
  <c r="B128" i="8" s="1"/>
  <c r="E14" i="9"/>
  <c r="B56" i="3"/>
  <c r="B27" i="11" s="1"/>
  <c r="E4" i="8"/>
  <c r="O4" i="8"/>
  <c r="F4" i="8"/>
  <c r="D4" i="8"/>
  <c r="B23" i="2"/>
  <c r="B23" i="7"/>
  <c r="C23" i="7" s="1"/>
  <c r="M5" i="8"/>
  <c r="F5" i="8"/>
  <c r="B69" i="2"/>
  <c r="D19" i="3"/>
  <c r="B7" i="3"/>
  <c r="H30" i="2"/>
  <c r="H31" i="2" s="1"/>
  <c r="C31" i="2"/>
  <c r="B73" i="2" s="1"/>
  <c r="I31" i="2"/>
  <c r="I39" i="2" s="1"/>
  <c r="B74" i="2"/>
  <c r="B10" i="3"/>
  <c r="K5" i="8" a="1"/>
  <c r="K5" i="8" s="1"/>
  <c r="L5" i="8"/>
  <c r="Q5" i="8"/>
  <c r="H6" i="8" a="1"/>
  <c r="H6" i="8" s="1"/>
  <c r="B8" i="3" l="1"/>
  <c r="D50" i="2"/>
  <c r="D49" i="2"/>
  <c r="B77" i="2"/>
  <c r="D19" i="5"/>
  <c r="B78" i="2"/>
  <c r="H39" i="2"/>
  <c r="B30" i="7"/>
  <c r="C30" i="7" s="1"/>
  <c r="D46" i="2"/>
  <c r="C22" i="3" s="1"/>
  <c r="B12" i="7" a="1"/>
  <c r="B12" i="7" s="1"/>
  <c r="B71" i="3"/>
  <c r="E16" i="3"/>
  <c r="D16" i="3"/>
  <c r="C14" i="2"/>
  <c r="B15" i="2"/>
  <c r="B16" i="2"/>
  <c r="E15" i="3"/>
  <c r="B70" i="3"/>
  <c r="D15" i="3"/>
  <c r="I6" i="8"/>
  <c r="P6" i="8"/>
  <c r="G7" i="8"/>
  <c r="B13" i="4"/>
  <c r="F7" i="4" s="1"/>
  <c r="B42" i="3"/>
  <c r="B32" i="3"/>
  <c r="B12" i="4"/>
  <c r="B31" i="7"/>
  <c r="C31" i="7" s="1"/>
  <c r="M7" i="8"/>
  <c r="E16" i="9"/>
  <c r="D8" i="8"/>
  <c r="O7" i="8"/>
  <c r="E7" i="8" a="1"/>
  <c r="E7" i="8" s="1"/>
  <c r="F16" i="9" s="1"/>
  <c r="G16" i="9" s="1"/>
  <c r="H16" i="9" s="1"/>
  <c r="I16" i="9" s="1"/>
  <c r="F7" i="8"/>
  <c r="B27" i="7"/>
  <c r="C27" i="7" s="1"/>
  <c r="B25" i="7"/>
  <c r="C25" i="7" s="1"/>
  <c r="D48" i="2"/>
  <c r="C23" i="3" s="1"/>
  <c r="B29" i="7"/>
  <c r="C29" i="7" s="1"/>
  <c r="B5" i="6"/>
  <c r="B10" i="6" s="1"/>
  <c r="B10" i="7"/>
  <c r="D47" i="2"/>
  <c r="C21" i="3" s="1"/>
  <c r="B71" i="2"/>
  <c r="B22" i="7"/>
  <c r="C22" i="7" s="1"/>
  <c r="D22" i="7" s="1"/>
  <c r="D23" i="7" s="1"/>
  <c r="C33" i="9"/>
  <c r="C27" i="9"/>
  <c r="D27" i="9" s="1"/>
  <c r="B16" i="11" s="1"/>
  <c r="B24" i="7"/>
  <c r="C24" i="7" s="1"/>
  <c r="B28" i="7"/>
  <c r="C28" i="7" s="1"/>
  <c r="B11" i="7" a="1"/>
  <c r="B11" i="7" s="1"/>
  <c r="B54" i="2"/>
  <c r="D54" i="2" s="1"/>
  <c r="B26" i="7"/>
  <c r="C26" i="7" s="1"/>
  <c r="D33" i="9"/>
  <c r="E27" i="9"/>
  <c r="J16" i="9"/>
  <c r="K15" i="9" a="1"/>
  <c r="K15" i="9" s="1"/>
  <c r="L15" i="9" s="1"/>
  <c r="D34" i="9" s="1"/>
  <c r="B75" i="2"/>
  <c r="B33" i="3"/>
  <c r="B11" i="3"/>
  <c r="B9" i="3"/>
  <c r="C39" i="2"/>
  <c r="B79" i="2"/>
  <c r="B20" i="3"/>
  <c r="K6" i="8" a="1"/>
  <c r="K6" i="8" s="1"/>
  <c r="L6" i="8"/>
  <c r="Q6" i="8"/>
  <c r="C26" i="3" l="1"/>
  <c r="B55" i="2"/>
  <c r="D55" i="2" s="1"/>
  <c r="B22" i="6"/>
  <c r="D24" i="7"/>
  <c r="D25" i="7" s="1"/>
  <c r="D26" i="7" s="1"/>
  <c r="D27" i="7" s="1"/>
  <c r="D28" i="7" s="1"/>
  <c r="D29" i="7" s="1"/>
  <c r="D30" i="7" s="1"/>
  <c r="D31" i="7" s="1"/>
  <c r="B8" i="4"/>
  <c r="B18" i="3"/>
  <c r="G8" i="8"/>
  <c r="P7" i="8"/>
  <c r="I7" i="8"/>
  <c r="H7" i="8" a="1"/>
  <c r="H7" i="8" s="1"/>
  <c r="B29" i="3"/>
  <c r="C75" i="3"/>
  <c r="B17" i="3"/>
  <c r="B8" i="5"/>
  <c r="B23" i="11"/>
  <c r="B79" i="3"/>
  <c r="C28" i="9"/>
  <c r="D28" i="9" s="1"/>
  <c r="C35" i="9"/>
  <c r="J17" i="9"/>
  <c r="K16" i="9" a="1"/>
  <c r="K16" i="9" s="1"/>
  <c r="L16" i="9" s="1"/>
  <c r="F54" i="2"/>
  <c r="E54" i="2"/>
  <c r="D9" i="8"/>
  <c r="O8" i="8"/>
  <c r="M8" i="8"/>
  <c r="E17" i="9"/>
  <c r="F8" i="8"/>
  <c r="E8" i="8" a="1"/>
  <c r="E8" i="8" s="1"/>
  <c r="F17" i="9" s="1"/>
  <c r="G17" i="9" s="1"/>
  <c r="H17" i="9" s="1"/>
  <c r="I17" i="9" s="1"/>
  <c r="C36" i="9" s="1"/>
  <c r="D20" i="3"/>
  <c r="E20" i="3"/>
  <c r="C79" i="3"/>
  <c r="B80" i="3"/>
  <c r="B81" i="3" s="1"/>
  <c r="B82" i="3" s="1"/>
  <c r="B83" i="3" s="1"/>
  <c r="B84" i="3" s="1"/>
  <c r="B85" i="3" s="1"/>
  <c r="B86" i="3" s="1"/>
  <c r="B87" i="3" s="1"/>
  <c r="B88" i="3" s="1"/>
  <c r="C22" i="6"/>
  <c r="B23" i="6"/>
  <c r="K7" i="8" a="1"/>
  <c r="K7" i="8" s="1"/>
  <c r="L7" i="8"/>
  <c r="Q7" i="8"/>
  <c r="B56" i="2" l="1"/>
  <c r="D56" i="2" s="1"/>
  <c r="F55" i="2"/>
  <c r="E55" i="2"/>
  <c r="G2" i="5"/>
  <c r="B11" i="5"/>
  <c r="E17" i="3"/>
  <c r="B72" i="3"/>
  <c r="B22" i="11"/>
  <c r="D17" i="3"/>
  <c r="B26" i="3"/>
  <c r="G9" i="8"/>
  <c r="P8" i="8"/>
  <c r="H8" i="8" a="1"/>
  <c r="H8" i="8" s="1"/>
  <c r="I8" i="8"/>
  <c r="B40" i="3"/>
  <c r="B73" i="3"/>
  <c r="B21" i="11"/>
  <c r="B91" i="3"/>
  <c r="E18" i="3"/>
  <c r="C91" i="3" s="1"/>
  <c r="B39" i="3"/>
  <c r="D18" i="3"/>
  <c r="F5" i="4"/>
  <c r="B21" i="4"/>
  <c r="B9" i="4"/>
  <c r="D10" i="8"/>
  <c r="E9" i="8" a="1"/>
  <c r="E9" i="8" s="1"/>
  <c r="O9" i="8"/>
  <c r="F9" i="8"/>
  <c r="M9" i="8"/>
  <c r="E18" i="9"/>
  <c r="D35" i="9"/>
  <c r="E28" i="9"/>
  <c r="J18" i="9"/>
  <c r="K17" i="9" a="1"/>
  <c r="K17" i="9" s="1"/>
  <c r="L17" i="9" s="1"/>
  <c r="D36" i="9" s="1"/>
  <c r="C23" i="6"/>
  <c r="G23" i="6" s="1"/>
  <c r="B24" i="6"/>
  <c r="D22" i="6"/>
  <c r="G22" i="6"/>
  <c r="C80" i="3"/>
  <c r="C81" i="3" s="1"/>
  <c r="C82" i="3" s="1"/>
  <c r="C83" i="3" s="1"/>
  <c r="K8" i="8" a="1"/>
  <c r="K8" i="8" s="1"/>
  <c r="L8" i="8"/>
  <c r="Q8" i="8"/>
  <c r="I54" i="2"/>
  <c r="F56" i="2"/>
  <c r="E56" i="2" l="1"/>
  <c r="B57" i="2"/>
  <c r="G10" i="8"/>
  <c r="P9" i="8"/>
  <c r="H9" i="8" a="1"/>
  <c r="H9" i="8" s="1"/>
  <c r="I9" i="8"/>
  <c r="J19" i="9"/>
  <c r="K18" i="9" a="1"/>
  <c r="K18" i="9" s="1"/>
  <c r="L18" i="9" s="1"/>
  <c r="C49" i="9"/>
  <c r="D50" i="9"/>
  <c r="C50" i="9"/>
  <c r="F18" i="9"/>
  <c r="G18" i="9" s="1"/>
  <c r="H18" i="9" s="1"/>
  <c r="I18" i="9" s="1"/>
  <c r="E47" i="9"/>
  <c r="D51" i="9"/>
  <c r="B48" i="9"/>
  <c r="F47" i="9"/>
  <c r="C51" i="9"/>
  <c r="B50" i="9"/>
  <c r="F51" i="9"/>
  <c r="F50" i="9"/>
  <c r="D48" i="9"/>
  <c r="B47" i="9"/>
  <c r="E50" i="9"/>
  <c r="B49" i="9"/>
  <c r="F48" i="9"/>
  <c r="E49" i="9"/>
  <c r="E48" i="9"/>
  <c r="F49" i="9"/>
  <c r="B51" i="9"/>
  <c r="D47" i="9"/>
  <c r="D49" i="9"/>
  <c r="C48" i="9"/>
  <c r="E51" i="9"/>
  <c r="C47" i="9"/>
  <c r="D11" i="8"/>
  <c r="M10" i="8"/>
  <c r="E19" i="9"/>
  <c r="F10" i="8"/>
  <c r="E10" i="8" a="1"/>
  <c r="E10" i="8" s="1"/>
  <c r="O10" i="8"/>
  <c r="D21" i="3"/>
  <c r="C84" i="3"/>
  <c r="C85" i="3" s="1"/>
  <c r="C86" i="3" s="1"/>
  <c r="C87" i="3" s="1"/>
  <c r="C88" i="3" s="1"/>
  <c r="E21" i="3" s="1"/>
  <c r="B25" i="6"/>
  <c r="C24" i="6"/>
  <c r="G24" i="6" s="1"/>
  <c r="H22" i="6"/>
  <c r="D23" i="6"/>
  <c r="I55" i="2"/>
  <c r="K9" i="8" a="1"/>
  <c r="K9" i="8" s="1"/>
  <c r="L9" i="8"/>
  <c r="Q9" i="8"/>
  <c r="D57" i="2"/>
  <c r="E57" i="2"/>
  <c r="F57" i="2"/>
  <c r="B58" i="2"/>
  <c r="G11" i="8" l="1"/>
  <c r="H10" i="8" a="1"/>
  <c r="H10" i="8" s="1"/>
  <c r="B131" i="8" s="1" a="1"/>
  <c r="B131" i="8" s="1"/>
  <c r="P10" i="8"/>
  <c r="I10" i="8"/>
  <c r="B129" i="8" a="1"/>
  <c r="B129" i="8" s="1"/>
  <c r="B28" i="11" s="1"/>
  <c r="F19" i="9"/>
  <c r="G19" i="9" s="1"/>
  <c r="H19" i="9" s="1"/>
  <c r="I19" i="9" s="1"/>
  <c r="C38" i="9" s="1"/>
  <c r="C37" i="9"/>
  <c r="C29" i="9"/>
  <c r="D29" i="9" s="1"/>
  <c r="B17" i="11" s="1"/>
  <c r="D12" i="8"/>
  <c r="M11" i="8"/>
  <c r="E11" i="8" a="1"/>
  <c r="E11" i="8" s="1"/>
  <c r="F20" i="9" s="1"/>
  <c r="G20" i="9" s="1"/>
  <c r="H20" i="9" s="1"/>
  <c r="I20" i="9" s="1"/>
  <c r="C39" i="9" s="1"/>
  <c r="E20" i="9"/>
  <c r="F11" i="8"/>
  <c r="O11" i="8"/>
  <c r="D37" i="9"/>
  <c r="E29" i="9"/>
  <c r="J20" i="9"/>
  <c r="K19" i="9" a="1"/>
  <c r="K19" i="9" s="1"/>
  <c r="L19" i="9" s="1"/>
  <c r="D38" i="9" s="1"/>
  <c r="I56" i="2"/>
  <c r="D24" i="6"/>
  <c r="H23" i="6"/>
  <c r="B31" i="3"/>
  <c r="C92" i="3"/>
  <c r="B30" i="3"/>
  <c r="B26" i="6"/>
  <c r="C25" i="6"/>
  <c r="G25" i="6" s="1"/>
  <c r="K10" i="8" a="1"/>
  <c r="K10" i="8" s="1"/>
  <c r="Q10" i="8"/>
  <c r="L10" i="8"/>
  <c r="E58" i="2"/>
  <c r="F58" i="2"/>
  <c r="D23" i="3" s="1"/>
  <c r="B59" i="2"/>
  <c r="D58" i="2"/>
  <c r="G12" i="8" l="1"/>
  <c r="H11" i="8" a="1"/>
  <c r="H11" i="8" s="1"/>
  <c r="P11" i="8"/>
  <c r="I11" i="8"/>
  <c r="K20" i="9" a="1"/>
  <c r="K20" i="9" s="1"/>
  <c r="L20" i="9" s="1"/>
  <c r="D39" i="9" s="1"/>
  <c r="J21" i="9"/>
  <c r="D13" i="8"/>
  <c r="F12" i="8"/>
  <c r="O12" i="8"/>
  <c r="M12" i="8"/>
  <c r="E21" i="9"/>
  <c r="E12" i="8" a="1"/>
  <c r="E12" i="8" s="1"/>
  <c r="F21" i="9" s="1"/>
  <c r="G21" i="9" s="1"/>
  <c r="H21" i="9" s="1"/>
  <c r="I21" i="9" s="1"/>
  <c r="C40" i="9" s="1"/>
  <c r="I57" i="2"/>
  <c r="D22" i="3"/>
  <c r="D26" i="3" s="1"/>
  <c r="H24" i="6"/>
  <c r="D25" i="6"/>
  <c r="C26" i="6"/>
  <c r="G26" i="6" s="1"/>
  <c r="B27" i="6"/>
  <c r="K11" i="8" a="1"/>
  <c r="K11" i="8" s="1"/>
  <c r="L11" i="8"/>
  <c r="Q11" i="8"/>
  <c r="D59" i="2"/>
  <c r="E59" i="2"/>
  <c r="F59" i="2"/>
  <c r="B60" i="2"/>
  <c r="I58" i="2" l="1"/>
  <c r="B83" i="2" s="1"/>
  <c r="G13" i="8"/>
  <c r="I12" i="8"/>
  <c r="P12" i="8"/>
  <c r="H12" i="8" a="1"/>
  <c r="H12" i="8" s="1"/>
  <c r="D14" i="8"/>
  <c r="F13" i="8"/>
  <c r="E13" i="8" a="1"/>
  <c r="E13" i="8" s="1"/>
  <c r="F22" i="9" s="1"/>
  <c r="G22" i="9" s="1"/>
  <c r="H22" i="9" s="1"/>
  <c r="I22" i="9" s="1"/>
  <c r="C41" i="9" s="1"/>
  <c r="O13" i="8"/>
  <c r="M13" i="8"/>
  <c r="E22" i="9"/>
  <c r="J22" i="9"/>
  <c r="K21" i="9" a="1"/>
  <c r="K21" i="9" s="1"/>
  <c r="L21" i="9" s="1"/>
  <c r="D40" i="9" s="1"/>
  <c r="C27" i="6"/>
  <c r="G27" i="6" s="1"/>
  <c r="B28" i="6"/>
  <c r="D26" i="6"/>
  <c r="H25" i="6"/>
  <c r="K12" i="8" a="1"/>
  <c r="K12" i="8" s="1"/>
  <c r="L12" i="8"/>
  <c r="Q12" i="8"/>
  <c r="D60" i="2"/>
  <c r="E60" i="2"/>
  <c r="F60" i="2"/>
  <c r="B61" i="2"/>
  <c r="G14" i="8" l="1"/>
  <c r="P13" i="8"/>
  <c r="I13" i="8"/>
  <c r="H13" i="8" a="1"/>
  <c r="H13" i="8" s="1"/>
  <c r="J23" i="9"/>
  <c r="K23" i="9" s="1" a="1"/>
  <c r="K23" i="9" s="1"/>
  <c r="L23" i="9" s="1"/>
  <c r="K22" i="9" a="1"/>
  <c r="K22" i="9" s="1"/>
  <c r="L22" i="9" s="1"/>
  <c r="D41" i="9" s="1"/>
  <c r="D15" i="8"/>
  <c r="B11" i="11"/>
  <c r="M14" i="8"/>
  <c r="E14" i="8" a="1"/>
  <c r="E14" i="8" s="1"/>
  <c r="O14" i="8"/>
  <c r="E23" i="9"/>
  <c r="F14" i="8"/>
  <c r="B11" i="6"/>
  <c r="H26" i="6"/>
  <c r="D27" i="6"/>
  <c r="C28" i="6"/>
  <c r="G28" i="6" s="1"/>
  <c r="B29" i="6"/>
  <c r="K13" i="8" a="1"/>
  <c r="K13" i="8" s="1"/>
  <c r="Q13" i="8"/>
  <c r="L13" i="8"/>
  <c r="I59" i="2"/>
  <c r="B62" i="2"/>
  <c r="D61" i="2"/>
  <c r="E61" i="2"/>
  <c r="F61" i="2"/>
  <c r="G15" i="8" l="1"/>
  <c r="P14" i="8"/>
  <c r="H14" i="8" a="1"/>
  <c r="H14" i="8" s="1"/>
  <c r="I14" i="8"/>
  <c r="F23" i="9"/>
  <c r="G23" i="9" s="1"/>
  <c r="H23" i="9" s="1"/>
  <c r="I23" i="9" s="1"/>
  <c r="B12" i="11"/>
  <c r="D16" i="8"/>
  <c r="M15" i="8"/>
  <c r="O15" i="8"/>
  <c r="F15" i="8"/>
  <c r="E15" i="8" a="1"/>
  <c r="E15" i="8" s="1"/>
  <c r="E30" i="9"/>
  <c r="D42" i="9"/>
  <c r="I60" i="2"/>
  <c r="B30" i="6"/>
  <c r="C29" i="6"/>
  <c r="G29" i="6" s="1"/>
  <c r="H27" i="6"/>
  <c r="D28" i="6"/>
  <c r="K14" i="8" a="1"/>
  <c r="K14" i="8" s="1"/>
  <c r="L14" i="8"/>
  <c r="Q14" i="8"/>
  <c r="E62" i="2"/>
  <c r="F62" i="2"/>
  <c r="B63" i="2"/>
  <c r="D62" i="2"/>
  <c r="G16" i="8" l="1"/>
  <c r="I15" i="8"/>
  <c r="P15" i="8"/>
  <c r="H15" i="8" a="1"/>
  <c r="H15" i="8" s="1"/>
  <c r="I61" i="2"/>
  <c r="D17" i="8"/>
  <c r="M16" i="8"/>
  <c r="E16" i="8" a="1"/>
  <c r="E16" i="8" s="1"/>
  <c r="F16" i="8"/>
  <c r="O16" i="8"/>
  <c r="C42" i="9"/>
  <c r="C30" i="9"/>
  <c r="D30" i="9" s="1"/>
  <c r="H28" i="6"/>
  <c r="D29" i="6"/>
  <c r="B31" i="6"/>
  <c r="C31" i="6" s="1"/>
  <c r="G31" i="6" s="1"/>
  <c r="C30" i="6"/>
  <c r="G30" i="6" s="1"/>
  <c r="K15" i="8" a="1"/>
  <c r="K15" i="8" s="1"/>
  <c r="L15" i="8"/>
  <c r="Q15" i="8"/>
  <c r="I62" i="2"/>
  <c r="F63" i="2"/>
  <c r="D63" i="2"/>
  <c r="E22" i="3" s="1"/>
  <c r="E63" i="2"/>
  <c r="E64" i="2" s="1"/>
  <c r="G17" i="8" l="1"/>
  <c r="H16" i="8" a="1"/>
  <c r="H16" i="8" s="1"/>
  <c r="I16" i="8"/>
  <c r="P16" i="8"/>
  <c r="D18" i="8"/>
  <c r="M17" i="8"/>
  <c r="F17" i="8"/>
  <c r="O17" i="8"/>
  <c r="E17" i="8" a="1"/>
  <c r="E17" i="8" s="1"/>
  <c r="F64" i="2"/>
  <c r="E23" i="3"/>
  <c r="E26" i="3" s="1"/>
  <c r="H29" i="6"/>
  <c r="D30" i="6"/>
  <c r="K16" i="8" a="1"/>
  <c r="K16" i="8" s="1"/>
  <c r="L16" i="8"/>
  <c r="Q16" i="8"/>
  <c r="H64" i="2"/>
  <c r="D64" i="2"/>
  <c r="G18" i="8" l="1"/>
  <c r="H17" i="8" a="1"/>
  <c r="H17" i="8" s="1"/>
  <c r="P17" i="8"/>
  <c r="I17" i="8"/>
  <c r="D19" i="8"/>
  <c r="M18" i="8"/>
  <c r="F18" i="8"/>
  <c r="E18" i="8" a="1"/>
  <c r="E18" i="8" s="1"/>
  <c r="O18" i="8"/>
  <c r="H30" i="6"/>
  <c r="D31" i="6"/>
  <c r="K17" i="8" a="1"/>
  <c r="K17" i="8" s="1"/>
  <c r="L17" i="8"/>
  <c r="Q17" i="8"/>
  <c r="I63" i="2"/>
  <c r="G19" i="8" l="1"/>
  <c r="I18" i="8"/>
  <c r="H18" i="8" a="1"/>
  <c r="H18" i="8" s="1"/>
  <c r="P18" i="8"/>
  <c r="D20" i="8"/>
  <c r="M19" i="8"/>
  <c r="E19" i="8" a="1"/>
  <c r="E19" i="8" s="1"/>
  <c r="O19" i="8"/>
  <c r="F19" i="8"/>
  <c r="H31" i="6"/>
  <c r="B12" i="6"/>
  <c r="K18" i="8" a="1"/>
  <c r="K18" i="8" s="1"/>
  <c r="Q18" i="8"/>
  <c r="L18" i="8"/>
  <c r="B84" i="2"/>
  <c r="I64" i="2"/>
  <c r="G20" i="8" l="1"/>
  <c r="I19" i="8"/>
  <c r="H19" i="8" a="1"/>
  <c r="H19" i="8" s="1"/>
  <c r="P19" i="8"/>
  <c r="D21" i="8"/>
  <c r="M20" i="8"/>
  <c r="O20" i="8"/>
  <c r="E20" i="8" a="1"/>
  <c r="E20" i="8" s="1"/>
  <c r="F20" i="8"/>
  <c r="K19" i="8" a="1"/>
  <c r="K19" i="8" s="1"/>
  <c r="L19" i="8"/>
  <c r="Q19" i="8"/>
  <c r="G21" i="8" l="1"/>
  <c r="P20" i="8"/>
  <c r="H20" i="8" a="1"/>
  <c r="H20" i="8" s="1"/>
  <c r="I20" i="8"/>
  <c r="D22" i="8"/>
  <c r="M21" i="8"/>
  <c r="E21" i="8" a="1"/>
  <c r="E21" i="8" s="1"/>
  <c r="O21" i="8"/>
  <c r="F21" i="8"/>
  <c r="K20" i="8" a="1"/>
  <c r="K20" i="8" s="1"/>
  <c r="L20" i="8"/>
  <c r="Q20" i="8"/>
  <c r="G22" i="8" l="1"/>
  <c r="H21" i="8" a="1"/>
  <c r="H21" i="8" s="1"/>
  <c r="P21" i="8"/>
  <c r="I21" i="8"/>
  <c r="D23" i="8"/>
  <c r="M22" i="8"/>
  <c r="E22" i="8" a="1"/>
  <c r="E22" i="8" s="1"/>
  <c r="O22" i="8"/>
  <c r="F22" i="8"/>
  <c r="K21" i="8" a="1"/>
  <c r="K21" i="8" s="1"/>
  <c r="L21" i="8"/>
  <c r="Q21" i="8"/>
  <c r="G23" i="8" l="1"/>
  <c r="P22" i="8"/>
  <c r="I22" i="8"/>
  <c r="H22" i="8" a="1"/>
  <c r="H22" i="8" s="1"/>
  <c r="D24" i="8"/>
  <c r="M23" i="8"/>
  <c r="O23" i="8"/>
  <c r="F23" i="8"/>
  <c r="E23" i="8" a="1"/>
  <c r="E23" i="8" s="1"/>
  <c r="K22" i="8" a="1"/>
  <c r="K22" i="8" s="1"/>
  <c r="L22" i="8"/>
  <c r="Q22" i="8"/>
  <c r="G24" i="8" l="1"/>
  <c r="H23" i="8" a="1"/>
  <c r="H23" i="8" s="1"/>
  <c r="P23" i="8"/>
  <c r="I23" i="8"/>
  <c r="D25" i="8"/>
  <c r="M24" i="8"/>
  <c r="O24" i="8"/>
  <c r="F24" i="8"/>
  <c r="E24" i="8" a="1"/>
  <c r="E24" i="8" s="1"/>
  <c r="K23" i="8" a="1"/>
  <c r="K23" i="8" s="1"/>
  <c r="L23" i="8"/>
  <c r="Q23" i="8"/>
  <c r="G25" i="8" l="1"/>
  <c r="I24" i="8"/>
  <c r="P24" i="8"/>
  <c r="H24" i="8" a="1"/>
  <c r="H24" i="8" s="1"/>
  <c r="D26" i="8"/>
  <c r="M25" i="8"/>
  <c r="F25" i="8"/>
  <c r="E25" i="8" a="1"/>
  <c r="E25" i="8" s="1"/>
  <c r="O25" i="8"/>
  <c r="K24" i="8" a="1"/>
  <c r="K24" i="8" s="1"/>
  <c r="L24" i="8"/>
  <c r="Q24" i="8"/>
  <c r="G26" i="8" l="1"/>
  <c r="I25" i="8"/>
  <c r="H25" i="8" a="1"/>
  <c r="H25" i="8" s="1"/>
  <c r="P25" i="8"/>
  <c r="D27" i="8"/>
  <c r="M26" i="8"/>
  <c r="F26" i="8"/>
  <c r="E26" i="8" a="1"/>
  <c r="E26" i="8" s="1"/>
  <c r="O26" i="8"/>
  <c r="Q25" i="8"/>
  <c r="K25" i="8" a="1"/>
  <c r="K25" i="8" s="1"/>
  <c r="L25" i="8"/>
  <c r="G27" i="8" l="1"/>
  <c r="P26" i="8"/>
  <c r="I26" i="8"/>
  <c r="H26" i="8" a="1"/>
  <c r="H26" i="8" s="1"/>
  <c r="D28" i="8"/>
  <c r="M27" i="8"/>
  <c r="E27" i="8" a="1"/>
  <c r="E27" i="8" s="1"/>
  <c r="O27" i="8"/>
  <c r="F27" i="8"/>
  <c r="K26" i="8" a="1"/>
  <c r="K26" i="8" s="1"/>
  <c r="L26" i="8"/>
  <c r="Q26" i="8"/>
  <c r="G28" i="8" l="1"/>
  <c r="I27" i="8"/>
  <c r="H27" i="8" a="1"/>
  <c r="H27" i="8" s="1"/>
  <c r="P27" i="8"/>
  <c r="D29" i="8"/>
  <c r="M28" i="8"/>
  <c r="O28" i="8"/>
  <c r="E28" i="8" a="1"/>
  <c r="E28" i="8" s="1"/>
  <c r="F28" i="8"/>
  <c r="K27" i="8" a="1"/>
  <c r="K27" i="8" s="1"/>
  <c r="L27" i="8"/>
  <c r="Q27" i="8"/>
  <c r="G29" i="8" l="1"/>
  <c r="P28" i="8"/>
  <c r="H28" i="8" a="1"/>
  <c r="H28" i="8" s="1"/>
  <c r="I28" i="8"/>
  <c r="D30" i="8"/>
  <c r="M29" i="8"/>
  <c r="E29" i="8" a="1"/>
  <c r="E29" i="8" s="1"/>
  <c r="F29" i="8"/>
  <c r="O29" i="8"/>
  <c r="K28" i="8" a="1"/>
  <c r="K28" i="8" s="1"/>
  <c r="L28" i="8"/>
  <c r="Q28" i="8"/>
  <c r="G30" i="8" l="1"/>
  <c r="I29" i="8"/>
  <c r="P29" i="8"/>
  <c r="H29" i="8" a="1"/>
  <c r="H29" i="8" s="1"/>
  <c r="D31" i="8"/>
  <c r="M30" i="8"/>
  <c r="E30" i="8" a="1"/>
  <c r="E30" i="8" s="1"/>
  <c r="F30" i="8"/>
  <c r="O30" i="8"/>
  <c r="K29" i="8" a="1"/>
  <c r="K29" i="8" s="1"/>
  <c r="L29" i="8"/>
  <c r="Q29" i="8"/>
  <c r="G31" i="8" l="1"/>
  <c r="H30" i="8" a="1"/>
  <c r="H30" i="8" s="1"/>
  <c r="I30" i="8"/>
  <c r="P30" i="8"/>
  <c r="D32" i="8"/>
  <c r="M31" i="8"/>
  <c r="E31" i="8" a="1"/>
  <c r="E31" i="8" s="1"/>
  <c r="O31" i="8"/>
  <c r="F31" i="8"/>
  <c r="K30" i="8" a="1"/>
  <c r="K30" i="8" s="1"/>
  <c r="L30" i="8"/>
  <c r="Q30" i="8"/>
  <c r="G32" i="8" l="1"/>
  <c r="P31" i="8"/>
  <c r="H31" i="8" a="1"/>
  <c r="H31" i="8" s="1"/>
  <c r="I31" i="8"/>
  <c r="D33" i="8"/>
  <c r="M32" i="8"/>
  <c r="E32" i="8" a="1"/>
  <c r="E32" i="8" s="1"/>
  <c r="O32" i="8"/>
  <c r="F32" i="8"/>
  <c r="K31" i="8" a="1"/>
  <c r="K31" i="8" s="1"/>
  <c r="L31" i="8"/>
  <c r="Q31" i="8"/>
  <c r="G33" i="8" l="1"/>
  <c r="P32" i="8"/>
  <c r="I32" i="8"/>
  <c r="H32" i="8" a="1"/>
  <c r="H32" i="8" s="1"/>
  <c r="D34" i="8"/>
  <c r="M33" i="8"/>
  <c r="O33" i="8"/>
  <c r="F33" i="8"/>
  <c r="E33" i="8" a="1"/>
  <c r="E33" i="8" s="1"/>
  <c r="K32" i="8" a="1"/>
  <c r="K32" i="8" s="1"/>
  <c r="Q32" i="8"/>
  <c r="L32" i="8"/>
  <c r="G34" i="8" l="1"/>
  <c r="P33" i="8"/>
  <c r="I33" i="8"/>
  <c r="H33" i="8" a="1"/>
  <c r="H33" i="8" s="1"/>
  <c r="D35" i="8"/>
  <c r="E34" i="8" a="1"/>
  <c r="E34" i="8" s="1"/>
  <c r="B13" i="11"/>
  <c r="O34" i="8"/>
  <c r="M34" i="8"/>
  <c r="F34" i="8"/>
  <c r="K33" i="8" a="1"/>
  <c r="K33" i="8" s="1"/>
  <c r="L33" i="8"/>
  <c r="Q33" i="8"/>
  <c r="G35" i="8" l="1"/>
  <c r="I34" i="8"/>
  <c r="H34" i="8" a="1"/>
  <c r="H34" i="8" s="1"/>
  <c r="P34" i="8"/>
  <c r="D36" i="8"/>
  <c r="M35" i="8"/>
  <c r="E35" i="8" a="1"/>
  <c r="E35" i="8" s="1"/>
  <c r="F35" i="8"/>
  <c r="O35" i="8"/>
  <c r="K34" i="8" a="1"/>
  <c r="K34" i="8" s="1"/>
  <c r="L34" i="8"/>
  <c r="Q34" i="8"/>
  <c r="G36" i="8" l="1"/>
  <c r="I35" i="8"/>
  <c r="H35" i="8" a="1"/>
  <c r="H35" i="8" s="1"/>
  <c r="P35" i="8"/>
  <c r="D37" i="8"/>
  <c r="M36" i="8"/>
  <c r="E36" i="8" a="1"/>
  <c r="E36" i="8" s="1"/>
  <c r="F36" i="8"/>
  <c r="O36" i="8"/>
  <c r="L35" i="8"/>
  <c r="Q35" i="8"/>
  <c r="K35" i="8" a="1"/>
  <c r="K35" i="8" s="1"/>
  <c r="G37" i="8" l="1"/>
  <c r="H36" i="8" a="1"/>
  <c r="H36" i="8" s="1"/>
  <c r="I36" i="8"/>
  <c r="P36" i="8"/>
  <c r="D38" i="8"/>
  <c r="M37" i="8"/>
  <c r="F37" i="8"/>
  <c r="O37" i="8"/>
  <c r="E37" i="8" a="1"/>
  <c r="E37" i="8" s="1"/>
  <c r="K36" i="8" a="1"/>
  <c r="K36" i="8" s="1"/>
  <c r="L36" i="8"/>
  <c r="Q36" i="8"/>
  <c r="G38" i="8" l="1"/>
  <c r="I37" i="8"/>
  <c r="P37" i="8"/>
  <c r="H37" i="8" a="1"/>
  <c r="H37" i="8" s="1"/>
  <c r="D39" i="8"/>
  <c r="M38" i="8"/>
  <c r="F38" i="8"/>
  <c r="O38" i="8"/>
  <c r="E38" i="8" a="1"/>
  <c r="E38" i="8" s="1"/>
  <c r="L37" i="8"/>
  <c r="K37" i="8" a="1"/>
  <c r="K37" i="8" s="1"/>
  <c r="Q37" i="8"/>
  <c r="G39" i="8" l="1"/>
  <c r="I38" i="8"/>
  <c r="P38" i="8"/>
  <c r="H38" i="8" a="1"/>
  <c r="H38" i="8" s="1"/>
  <c r="D40" i="8"/>
  <c r="M39" i="8"/>
  <c r="O39" i="8"/>
  <c r="F39" i="8"/>
  <c r="E39" i="8" a="1"/>
  <c r="E39" i="8" s="1"/>
  <c r="K38" i="8" a="1"/>
  <c r="K38" i="8" s="1"/>
  <c r="L38" i="8"/>
  <c r="Q38" i="8"/>
  <c r="G40" i="8" l="1"/>
  <c r="I39" i="8"/>
  <c r="P39" i="8"/>
  <c r="H39" i="8" a="1"/>
  <c r="H39" i="8" s="1"/>
  <c r="D41" i="8"/>
  <c r="M40" i="8"/>
  <c r="E40" i="8" a="1"/>
  <c r="E40" i="8" s="1"/>
  <c r="F40" i="8"/>
  <c r="O40" i="8"/>
  <c r="K39" i="8" a="1"/>
  <c r="K39" i="8" s="1"/>
  <c r="L39" i="8"/>
  <c r="Q39" i="8"/>
  <c r="G41" i="8" l="1"/>
  <c r="H40" i="8" a="1"/>
  <c r="H40" i="8" s="1"/>
  <c r="I40" i="8"/>
  <c r="P40" i="8"/>
  <c r="D42" i="8"/>
  <c r="M41" i="8"/>
  <c r="F41" i="8"/>
  <c r="O41" i="8"/>
  <c r="E41" i="8" a="1"/>
  <c r="E41" i="8" s="1"/>
  <c r="K40" i="8" a="1"/>
  <c r="K40" i="8" s="1"/>
  <c r="L40" i="8"/>
  <c r="Q40" i="8"/>
  <c r="G42" i="8" l="1"/>
  <c r="P41" i="8"/>
  <c r="H41" i="8" a="1"/>
  <c r="H41" i="8" s="1"/>
  <c r="I41" i="8"/>
  <c r="D43" i="8"/>
  <c r="M42" i="8"/>
  <c r="F42" i="8"/>
  <c r="E42" i="8" a="1"/>
  <c r="E42" i="8" s="1"/>
  <c r="O42" i="8"/>
  <c r="K41" i="8" a="1"/>
  <c r="K41" i="8" s="1"/>
  <c r="L41" i="8"/>
  <c r="Q41" i="8"/>
  <c r="G43" i="8" l="1"/>
  <c r="I42" i="8"/>
  <c r="H42" i="8" a="1"/>
  <c r="H42" i="8" s="1"/>
  <c r="P42" i="8"/>
  <c r="D44" i="8"/>
  <c r="M43" i="8"/>
  <c r="E43" i="8" a="1"/>
  <c r="E43" i="8" s="1"/>
  <c r="F43" i="8"/>
  <c r="O43" i="8"/>
  <c r="K42" i="8" a="1"/>
  <c r="K42" i="8" s="1"/>
  <c r="L42" i="8"/>
  <c r="Q42" i="8"/>
  <c r="G44" i="8" l="1"/>
  <c r="I43" i="8"/>
  <c r="H43" i="8" a="1"/>
  <c r="H43" i="8" s="1"/>
  <c r="P43" i="8"/>
  <c r="D45" i="8"/>
  <c r="M44" i="8"/>
  <c r="F44" i="8"/>
  <c r="E44" i="8" a="1"/>
  <c r="E44" i="8" s="1"/>
  <c r="O44" i="8"/>
  <c r="K43" i="8" a="1"/>
  <c r="K43" i="8" s="1"/>
  <c r="Q43" i="8"/>
  <c r="L43" i="8"/>
  <c r="G45" i="8" l="1"/>
  <c r="I44" i="8"/>
  <c r="P44" i="8"/>
  <c r="H44" i="8" a="1"/>
  <c r="H44" i="8" s="1"/>
  <c r="D46" i="8"/>
  <c r="M45" i="8"/>
  <c r="O45" i="8"/>
  <c r="E45" i="8" a="1"/>
  <c r="E45" i="8" s="1"/>
  <c r="F45" i="8"/>
  <c r="Q44" i="8"/>
  <c r="K44" i="8" a="1"/>
  <c r="K44" i="8" s="1"/>
  <c r="L44" i="8"/>
  <c r="G46" i="8" l="1"/>
  <c r="P45" i="8"/>
  <c r="I45" i="8"/>
  <c r="H45" i="8" a="1"/>
  <c r="H45" i="8" s="1"/>
  <c r="D47" i="8"/>
  <c r="M46" i="8"/>
  <c r="F46" i="8"/>
  <c r="E46" i="8" a="1"/>
  <c r="E46" i="8" s="1"/>
  <c r="O46" i="8"/>
  <c r="K45" i="8" a="1"/>
  <c r="K45" i="8" s="1"/>
  <c r="L45" i="8"/>
  <c r="Q45" i="8"/>
  <c r="G47" i="8" l="1"/>
  <c r="I46" i="8"/>
  <c r="P46" i="8"/>
  <c r="H46" i="8" a="1"/>
  <c r="H46" i="8" s="1"/>
  <c r="D48" i="8"/>
  <c r="M47" i="8"/>
  <c r="F47" i="8"/>
  <c r="O47" i="8"/>
  <c r="E47" i="8" a="1"/>
  <c r="E47" i="8" s="1"/>
  <c r="K46" i="8" a="1"/>
  <c r="K46" i="8" s="1"/>
  <c r="L46" i="8"/>
  <c r="Q46" i="8"/>
  <c r="G48" i="8" l="1"/>
  <c r="H47" i="8" a="1"/>
  <c r="H47" i="8" s="1"/>
  <c r="P47" i="8"/>
  <c r="I47" i="8"/>
  <c r="D49" i="8"/>
  <c r="M48" i="8"/>
  <c r="O48" i="8"/>
  <c r="E48" i="8" a="1"/>
  <c r="E48" i="8" s="1"/>
  <c r="F48" i="8"/>
  <c r="K47" i="8" a="1"/>
  <c r="K47" i="8" s="1"/>
  <c r="Q47" i="8"/>
  <c r="L47" i="8"/>
  <c r="G49" i="8" l="1"/>
  <c r="P48" i="8"/>
  <c r="I48" i="8"/>
  <c r="H48" i="8" a="1"/>
  <c r="H48" i="8" s="1"/>
  <c r="D50" i="8"/>
  <c r="M49" i="8"/>
  <c r="F49" i="8"/>
  <c r="E49" i="8" a="1"/>
  <c r="E49" i="8" s="1"/>
  <c r="O49" i="8"/>
  <c r="K48" i="8" a="1"/>
  <c r="K48" i="8" s="1"/>
  <c r="L48" i="8"/>
  <c r="Q48" i="8"/>
  <c r="G50" i="8" l="1"/>
  <c r="H49" i="8" a="1"/>
  <c r="H49" i="8" s="1"/>
  <c r="I49" i="8"/>
  <c r="P49" i="8"/>
  <c r="D51" i="8"/>
  <c r="M50" i="8"/>
  <c r="F50" i="8"/>
  <c r="E50" i="8" a="1"/>
  <c r="E50" i="8" s="1"/>
  <c r="O50" i="8"/>
  <c r="Q49" i="8"/>
  <c r="L49" i="8"/>
  <c r="K49" i="8" a="1"/>
  <c r="K49" i="8" s="1"/>
  <c r="G51" i="8" l="1"/>
  <c r="I50" i="8"/>
  <c r="P50" i="8"/>
  <c r="H50" i="8" a="1"/>
  <c r="H50" i="8" s="1"/>
  <c r="D52" i="8"/>
  <c r="M51" i="8"/>
  <c r="E51" i="8" a="1"/>
  <c r="E51" i="8" s="1"/>
  <c r="F51" i="8"/>
  <c r="O51" i="8"/>
  <c r="Q50" i="8"/>
  <c r="K50" i="8" a="1"/>
  <c r="K50" i="8" s="1"/>
  <c r="L50" i="8"/>
  <c r="G52" i="8" l="1"/>
  <c r="H51" i="8" a="1"/>
  <c r="H51" i="8" s="1"/>
  <c r="I51" i="8"/>
  <c r="P51" i="8"/>
  <c r="D53" i="8"/>
  <c r="M52" i="8"/>
  <c r="E52" i="8" a="1"/>
  <c r="E52" i="8" s="1"/>
  <c r="F52" i="8"/>
  <c r="O52" i="8"/>
  <c r="K51" i="8" a="1"/>
  <c r="K51" i="8" s="1"/>
  <c r="L51" i="8"/>
  <c r="Q51" i="8"/>
  <c r="G53" i="8" l="1"/>
  <c r="H52" i="8" a="1"/>
  <c r="H52" i="8" s="1"/>
  <c r="I52" i="8"/>
  <c r="P52" i="8"/>
  <c r="D54" i="8"/>
  <c r="M53" i="8"/>
  <c r="E53" i="8" a="1"/>
  <c r="E53" i="8" s="1"/>
  <c r="F53" i="8"/>
  <c r="O53" i="8"/>
  <c r="K52" i="8" a="1"/>
  <c r="K52" i="8" s="1"/>
  <c r="Q52" i="8"/>
  <c r="L52" i="8"/>
  <c r="G54" i="8" l="1"/>
  <c r="P53" i="8"/>
  <c r="H53" i="8" a="1"/>
  <c r="H53" i="8" s="1"/>
  <c r="I53" i="8"/>
  <c r="D55" i="8"/>
  <c r="M54" i="8"/>
  <c r="E54" i="8" a="1"/>
  <c r="E54" i="8" s="1"/>
  <c r="F54" i="8"/>
  <c r="O54" i="8"/>
  <c r="Q53" i="8"/>
  <c r="L53" i="8"/>
  <c r="K53" i="8" a="1"/>
  <c r="K53" i="8" s="1"/>
  <c r="G55" i="8" l="1"/>
  <c r="I54" i="8"/>
  <c r="H54" i="8" a="1"/>
  <c r="H54" i="8" s="1"/>
  <c r="P54" i="8"/>
  <c r="D56" i="8"/>
  <c r="M55" i="8"/>
  <c r="F55" i="8"/>
  <c r="O55" i="8"/>
  <c r="E55" i="8" a="1"/>
  <c r="E55" i="8" s="1"/>
  <c r="L54" i="8"/>
  <c r="K54" i="8" a="1"/>
  <c r="K54" i="8" s="1"/>
  <c r="Q54" i="8"/>
  <c r="G56" i="8" l="1"/>
  <c r="P55" i="8"/>
  <c r="I55" i="8"/>
  <c r="H55" i="8" a="1"/>
  <c r="H55" i="8" s="1"/>
  <c r="D57" i="8"/>
  <c r="M56" i="8"/>
  <c r="E56" i="8" a="1"/>
  <c r="E56" i="8" s="1"/>
  <c r="F56" i="8"/>
  <c r="O56" i="8"/>
  <c r="Q55" i="8"/>
  <c r="K55" i="8" a="1"/>
  <c r="K55" i="8" s="1"/>
  <c r="L55" i="8"/>
  <c r="G57" i="8" l="1"/>
  <c r="I56" i="8"/>
  <c r="P56" i="8"/>
  <c r="H56" i="8" a="1"/>
  <c r="H56" i="8" s="1"/>
  <c r="D58" i="8"/>
  <c r="M57" i="8"/>
  <c r="E57" i="8" a="1"/>
  <c r="E57" i="8" s="1"/>
  <c r="F57" i="8"/>
  <c r="O57" i="8"/>
  <c r="L56" i="8"/>
  <c r="Q56" i="8"/>
  <c r="K56" i="8" a="1"/>
  <c r="K56" i="8" s="1"/>
  <c r="G58" i="8" l="1"/>
  <c r="I57" i="8"/>
  <c r="P57" i="8"/>
  <c r="H57" i="8" a="1"/>
  <c r="H57" i="8" s="1"/>
  <c r="D59" i="8"/>
  <c r="M58" i="8"/>
  <c r="E58" i="8" a="1"/>
  <c r="E58" i="8" s="1"/>
  <c r="F58" i="8"/>
  <c r="O58" i="8"/>
  <c r="L57" i="8"/>
  <c r="K57" i="8" a="1"/>
  <c r="K57" i="8" s="1"/>
  <c r="Q57" i="8"/>
  <c r="G59" i="8" l="1"/>
  <c r="I58" i="8"/>
  <c r="P58" i="8"/>
  <c r="H58" i="8" a="1"/>
  <c r="H58" i="8" s="1"/>
  <c r="D60" i="8"/>
  <c r="M59" i="8"/>
  <c r="E59" i="8" a="1"/>
  <c r="E59" i="8" s="1"/>
  <c r="O59" i="8"/>
  <c r="F59" i="8"/>
  <c r="K58" i="8" a="1"/>
  <c r="K58" i="8" s="1"/>
  <c r="L58" i="8"/>
  <c r="Q58" i="8"/>
  <c r="G60" i="8" l="1"/>
  <c r="H59" i="8" a="1"/>
  <c r="H59" i="8" s="1"/>
  <c r="P59" i="8"/>
  <c r="I59" i="8"/>
  <c r="D61" i="8"/>
  <c r="M60" i="8"/>
  <c r="E60" i="8" a="1"/>
  <c r="E60" i="8" s="1"/>
  <c r="O60" i="8"/>
  <c r="F60" i="8"/>
  <c r="Q59" i="8"/>
  <c r="K59" i="8" a="1"/>
  <c r="K59" i="8" s="1"/>
  <c r="L59" i="8"/>
  <c r="G61" i="8" l="1"/>
  <c r="P60" i="8"/>
  <c r="I60" i="8"/>
  <c r="H60" i="8" a="1"/>
  <c r="H60" i="8" s="1"/>
  <c r="D62" i="8"/>
  <c r="M61" i="8"/>
  <c r="F61" i="8"/>
  <c r="E61" i="8" a="1"/>
  <c r="E61" i="8" s="1"/>
  <c r="O61" i="8"/>
  <c r="K60" i="8" a="1"/>
  <c r="K60" i="8" s="1"/>
  <c r="L60" i="8"/>
  <c r="Q60" i="8"/>
  <c r="G62" i="8" l="1"/>
  <c r="P61" i="8"/>
  <c r="I61" i="8"/>
  <c r="H61" i="8" a="1"/>
  <c r="H61" i="8" s="1"/>
  <c r="D63" i="8"/>
  <c r="M62" i="8"/>
  <c r="E62" i="8" a="1"/>
  <c r="E62" i="8" s="1"/>
  <c r="F62" i="8"/>
  <c r="O62" i="8"/>
  <c r="L61" i="8"/>
  <c r="K61" i="8" a="1"/>
  <c r="K61" i="8" s="1"/>
  <c r="Q61" i="8"/>
  <c r="G63" i="8" l="1"/>
  <c r="I62" i="8"/>
  <c r="P62" i="8"/>
  <c r="H62" i="8" a="1"/>
  <c r="H62" i="8" s="1"/>
  <c r="D64" i="8"/>
  <c r="M63" i="8"/>
  <c r="O63" i="8"/>
  <c r="F63" i="8"/>
  <c r="E63" i="8" a="1"/>
  <c r="E63" i="8" s="1"/>
  <c r="Q62" i="8"/>
  <c r="K62" i="8" a="1"/>
  <c r="K62" i="8" s="1"/>
  <c r="L62" i="8"/>
  <c r="G64" i="8" l="1"/>
  <c r="I63" i="8"/>
  <c r="H63" i="8" a="1"/>
  <c r="H63" i="8" s="1"/>
  <c r="P63" i="8"/>
  <c r="M64" i="8"/>
  <c r="O64" i="8"/>
  <c r="E64" i="8" a="1"/>
  <c r="E64" i="8" s="1"/>
  <c r="F64" i="8"/>
  <c r="K63" i="8" a="1"/>
  <c r="K63" i="8" s="1"/>
  <c r="L63" i="8"/>
  <c r="Q63" i="8"/>
  <c r="H64" i="8" l="1" a="1"/>
  <c r="H64" i="8" s="1"/>
  <c r="P64" i="8"/>
  <c r="I64" i="8"/>
  <c r="K64" i="8" a="1"/>
  <c r="K64" i="8" s="1"/>
  <c r="B133" i="8" s="1" a="1"/>
  <c r="B133" i="8" s="1"/>
  <c r="Q64" i="8"/>
  <c r="L6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<sst xmlns="http://schemas.openxmlformats.org/spreadsheetml/2006/main" count="218" uniqueCount="145">
  <si>
    <t>Party</t>
  </si>
  <si>
    <t>Upfront ($)</t>
  </si>
  <si>
    <t>Annual Recurring ($)</t>
  </si>
  <si>
    <t>5-Year Total ($)</t>
  </si>
  <si>
    <t>10-Year Total ($)</t>
  </si>
  <si>
    <t>Notes</t>
  </si>
  <si>
    <t>—</t>
  </si>
  <si>
    <t>Ohana Firm</t>
  </si>
  <si>
    <t>50% of net load — upfront program income</t>
  </si>
  <si>
    <t>3cStructures</t>
  </si>
  <si>
    <t>1% structuring fee</t>
  </si>
  <si>
    <t>Commission on annuity products at Regional rate</t>
  </si>
  <si>
    <t>0.15% annual advisory fee on net assets — RECURRING</t>
  </si>
  <si>
    <t>Advantage (M&amp;E)</t>
  </si>
  <si>
    <t>0.15% M&amp;E annual charge</t>
  </si>
  <si>
    <t>Inspira (Custodian)</t>
  </si>
  <si>
    <t>0.05% custodian fee</t>
  </si>
  <si>
    <t>Gross Weighted Return for Client</t>
  </si>
  <si>
    <t>Amount ($)</t>
  </si>
  <si>
    <t>Intl Fixed Rate Plan Plus</t>
  </si>
  <si>
    <t>Intl Fixed Rate Plan</t>
  </si>
  <si>
    <t>US 5-Year FIA</t>
  </si>
  <si>
    <t>AAIDX (Alt Income)</t>
  </si>
  <si>
    <t>ACRE III (CRE Fund)</t>
  </si>
  <si>
    <t>Cash (Liquidity)</t>
  </si>
  <si>
    <t>RIA / Advisor</t>
  </si>
  <si>
    <t>Year</t>
  </si>
  <si>
    <t>RIA Annual ($)</t>
  </si>
  <si>
    <t>RIA Cumulative ($)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</si>
  <si>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</si>
  <si>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</si>
  <si>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</si>
  <si>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</si>
  <si>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</si>
  <si>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</si>
  <si>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</si>
  <si>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</si>
  <si>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</si>
  <si>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</si>
  <si>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OGA ($)</t>
  </si>
  <si>
    <t>Processor ($)</t>
  </si>
  <si>
    <t>Regional ($)</t>
  </si>
  <si>
    <t>N/A</t>
  </si>
  <si>
    <t>Program Income</t>
  </si>
  <si>
    <t>Amount</t>
  </si>
  <si>
    <t>Guaranteed (75%)</t>
  </si>
  <si>
    <t>Split</t>
  </si>
  <si>
    <t>Non-Guaranteed (25%)</t>
  </si>
  <si>
    <t>Premium ($)</t>
  </si>
  <si>
    <t>Commission ($)</t>
  </si>
  <si>
    <t>Source</t>
  </si>
  <si>
    <t>Premium Load Share</t>
  </si>
  <si>
    <t>Marketing Allowance</t>
  </si>
  <si>
    <t>Product</t>
  </si>
  <si>
    <t>OGA</t>
  </si>
  <si>
    <t>Alloc %</t>
  </si>
  <si>
    <t>AUM ($)</t>
  </si>
  <si>
    <t>Annual Fee ($)</t>
  </si>
  <si>
    <t>Creating Yourself LLC</t>
  </si>
  <si>
    <t>Variable Annuity (PPVA)</t>
  </si>
  <si>
    <t>← verify per Ohana contract</t>
  </si>
  <si>
    <t>Source: Sam Jensen email communication</t>
  </si>
  <si>
    <t>Source: Sam Jensen email communication — estimate</t>
  </si>
  <si>
    <t>Est. Rate</t>
  </si>
  <si>
    <t>No Processor tier in Axonic schedule. Regional = 4.5% per Axonic grid.</t>
  </si>
  <si>
    <t>Updated per Inspira fee schedule</t>
  </si>
  <si>
    <t>← adjust when confirmed (incl. Q1)</t>
  </si>
  <si>
    <t>Wtd Return</t>
  </si>
  <si>
    <t>OGA Comm</t>
  </si>
  <si>
    <t>Proc Comm</t>
  </si>
  <si>
    <t>Reg Comm</t>
  </si>
  <si>
    <t>Commission applies to annuity products only. Investment funds (AAIDX, ACRE III, Cash) carry no commission.</t>
  </si>
  <si>
    <t>Marketing allowance = equivalent of Axonic regular commission on annuity premiums. Verify OGA vs. Processor vs. Regional rate level per contract language.</t>
  </si>
  <si>
    <t>Rate</t>
  </si>
  <si>
    <t>Est. Annual $ on Net</t>
  </si>
  <si>
    <t>← adjust when confirmed</t>
  </si>
  <si>
    <t>Auto-calculated from fund allocations above</t>
  </si>
  <si>
    <t>No</t>
  </si>
  <si>
    <t>Type "Yes" to use manual rate below instead of blended</t>
  </si>
  <si>
    <t>Only used if Override = "Yes"</t>
  </si>
  <si>
    <t>← This rate feeds all projections</t>
  </si>
  <si>
    <t>Your share of the upfront premium load</t>
  </si>
  <si>
    <t>Annuity product commissions (OGA rate)</t>
  </si>
  <si>
    <t>50% of net load — paid upfront</t>
  </si>
  <si>
    <t>Pulls from Inputs → Syndicated / Stephen RIA %</t>
  </si>
  <si>
    <t>Pulls from Inputs → Growth Assumptions</t>
  </si>
  <si>
    <t>Cumulative ($)</t>
  </si>
  <si>
    <t>AUM (BOY)</t>
  </si>
  <si>
    <t>Growth Rate</t>
  </si>
  <si>
    <t>RIA / Syndicated</t>
  </si>
  <si>
    <t>Total Annual Fees</t>
  </si>
  <si>
    <t>Cumulative Fees</t>
  </si>
  <si>
    <t xml:space="preserve">Source: Sam Jensen email ( verify where this is being paid) </t>
  </si>
  <si>
    <t xml:space="preserve">Source: Sam Jensen email — Confirm total figure </t>
  </si>
  <si>
    <t>Akito Takata</t>
  </si>
  <si>
    <t>Source: Carrier illustration</t>
  </si>
  <si>
    <t>Current portfolio cash surrender value</t>
  </si>
  <si>
    <t>Original cost basis in existing policy</t>
  </si>
  <si>
    <t>Assumed rate at exit</t>
  </si>
  <si>
    <t>Growth rate for existing portfolio projection</t>
  </si>
  <si>
    <t>Japanese income tax rate on gains</t>
  </si>
  <si>
    <t>Base illustration rate</t>
  </si>
  <si>
    <t>Basis x FX at contribution</t>
  </si>
  <si>
    <t>Deposit x (1 - Premium Charge)</t>
  </si>
  <si>
    <t>✔ パッシブ・リカーリング収入 — アクティブ取引不要 / Passive, recurring income — no active trading required</t>
  </si>
  <si>
    <t>✔ 顧客は75%を保証商品に投資し6.25%のブレンドリターンを取得 / Client gets 6.25% blended return with 75% guaranteed</t>
  </si>
  <si>
    <t>✔ 顧客は$12M以上を多様な商品に投資 / Client retains $12M+ invested in diversified products</t>
  </si>
  <si>
    <t>✔ 75%が保証商品 — 顧客のための安全第一 / 75% in guaranteed products — safety-first positioning</t>
  </si>
  <si>
    <t>English</t>
  </si>
  <si>
    <t>Honey</t>
  </si>
  <si>
    <t>Pan American</t>
  </si>
  <si>
    <t>PPLI/PPVA</t>
  </si>
  <si>
    <t>Pacific Life</t>
  </si>
  <si>
    <t>VF53293100</t>
  </si>
  <si>
    <t>VUL</t>
  </si>
  <si>
    <t>Global Atlantic / Accordia</t>
  </si>
  <si>
    <t>UL00035275</t>
  </si>
  <si>
    <t>UL</t>
  </si>
  <si>
    <t>Lincoln</t>
  </si>
  <si>
    <t>VUL1035292</t>
  </si>
  <si>
    <t>5 (4 MECs)</t>
  </si>
  <si>
    <t xml:space="preserve">Net to Fund Projected </t>
  </si>
  <si>
    <t xml:space="preserve">Net To Fund Actual </t>
  </si>
  <si>
    <t xml:space="preserve">Variance </t>
  </si>
  <si>
    <t>6% Premium Load on deposit</t>
  </si>
  <si>
    <t>← 0.05 × Premium Load rate</t>
  </si>
  <si>
    <t>← 50/50 split to Ohana</t>
  </si>
  <si>
    <t>Auto = 100% minus PBWR share above</t>
  </si>
  <si>
    <t>Auto = Premium Load + 3cStructures load</t>
  </si>
  <si>
    <t>Syndicated Capital retains 5% of premium load</t>
  </si>
  <si>
    <t>Sweeps from Stephen to PB Investment Services</t>
  </si>
  <si>
    <t>PB Investment Services retains 5% of premium load</t>
  </si>
  <si>
    <t>Effective rate 5.4% of deposit</t>
  </si>
  <si>
    <t>5% holdback on premium load</t>
  </si>
  <si>
    <t>50% of net after both holdbacks</t>
  </si>
  <si>
    <t>Syndicated Capital</t>
  </si>
  <si>
    <t>PB Investment Services</t>
  </si>
  <si>
    <t>PBWR</t>
  </si>
  <si>
    <t>✔ $13M預入に対する紹介で$351,000の前払い / $351,000 upfront for a single introduction on $13M deposit</t>
  </si>
  <si>
    <t>Default 0% — set rate when money manager is engaged</t>
  </si>
  <si>
    <t>Money Manager</t>
  </si>
  <si>
    <t>Money Manager fee — default 0%</t>
  </si>
  <si>
    <t xml:space="preserve">Syndicated Capital Broker Dealer </t>
  </si>
  <si>
    <t xml:space="preserve">Make second for US </t>
  </si>
  <si>
    <t xml:space="preserve">Combined CSV to include USD as well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</si>
</sst>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\$#,##0;&quot;($&quot;#,##0\);\-"/>
    <numFmt numFmtId="165" formatCode="0.000%;\(0.000%\);\-"/>
    <numFmt numFmtId="166" formatCode="0.00%;\(0.00%\);\-"/>
    <numFmt numFmtId="167" formatCode="&quot;$&quot;#,##0"/>
    <numFmt numFmtId="168" formatCode="&quot;$&quot;#,##0;\(&quot;$&quot;#,##0\);\-"/>
    <numFmt numFmtId="169" formatCode="0.0%"/>
    <numFmt numFmtId="170" formatCode="0.000%"/>
    <numFmt numFmtId="171" formatCode="0.0%;\(0.0%\);\-"/>
    <numFmt numFmtId="172" formatCode="&quot;$&quot;#,##0.00"/>
    <numFmt numFmtId="173" formatCode="0.00%;\(0.00%\)"/>
    <numFmt numFmtId="174" formatCode="0.000%;\(0.000%\)"/>
    <numFmt numFmtId="175" formatCode="0.00\x"/>
    <numFmt numFmtId="180" formatCode="&quot;$&quot;#,##0;&quot;($&quot;#,##0\);\-"/>
  </numFmts>
  <fonts count="8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9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FF6600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sz val="11"/>
      <color rgb="FF808080"/>
      <name val="Arial"/>
      <family val="2"/>
    </font>
    <font>
      <b/>
      <sz val="16"/>
      <color rgb="FF1F4E79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808080"/>
      <name val="Arial"/>
      <family val="2"/>
    </font>
    <font>
      <b/>
      <sz val="11"/>
      <color rgb="FF2E75B6"/>
      <name val="Arial"/>
      <family val="2"/>
    </font>
    <font>
      <i/>
      <sz val="9"/>
      <color rgb="FF2E75B6"/>
      <name val="Arial"/>
      <family val="2"/>
    </font>
    <font>
      <b/>
      <sz val="11"/>
      <color rgb="FF008000"/>
      <name val="Arial"/>
      <family val="2"/>
    </font>
    <font>
      <i/>
      <sz val="9"/>
      <color rgb="FF008000"/>
      <name val="Arial"/>
      <family val="2"/>
    </font>
    <font>
      <sz val="10"/>
      <color rgb="FF008000"/>
      <name val="Arial"/>
      <family val="2"/>
    </font>
    <font>
      <sz val="10"/>
      <color rgb="FF2E75B6"/>
      <name val="Arial"/>
      <family val="2"/>
    </font>
    <font>
      <b/>
      <sz val="10"/>
      <color rgb="FF2E75B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80808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</font>
    <font>
      <sz val="11"/>
      <color rgb="FF000000"/>
      <name val="Arial"/>
    </font>
    <font>
      <i/>
      <sz val="9"/>
      <color rgb="FF808080"/>
      <name val="Arial"/>
    </font>
    <font>
      <sz val="11"/>
      <color rgb="FF0000FF"/>
      <name val="Arial"/>
    </font>
    <font>
      <i/>
      <sz val="9"/>
      <color rgb="FFFF6600"/>
      <name val="Arial"/>
    </font>
    <font>
      <sz val="11"/>
      <color rgb="FF0000FF"/>
      <name val="Calibri"/>
      <family val="2"/>
      <charset val="1"/>
    </font>
    <font>
      <b/>
      <sz val="11"/>
      <color rgb="FF000000"/>
      <name val="Arial"/>
    </font>
    <font>
      <b/>
      <i/>
      <sz val="9"/>
      <color rgb="FF008000"/>
      <name val="Arial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18"/>
      <color rgb="FFFFFFFF"/>
      <name val="Arial"/>
    </font>
    <font>
      <b/>
      <sz val="10"/>
      <color rgb="FF000000"/>
      <name val="Arial"/>
    </font>
    <font>
      <b/>
      <sz val="11"/>
      <color rgb="FFC55A11"/>
      <name val="Arial"/>
    </font>
    <font>
      <sz val="11"/>
      <color rgb="FFC55A11"/>
      <name val="Calibri"/>
      <family val="2"/>
      <charset val="1"/>
    </font>
    <font>
      <b/>
      <sz val="13"/>
      <color rgb="FFC55A11"/>
      <name val="Arial"/>
    </font>
    <font>
      <sz val="1"/>
      <color rgb="FFFFFFFF"/>
      <name val="Calibri"/>
      <family val="2"/>
      <charset val="1"/>
    </font>
    <font>
      <b/>
      <sz val="18"/>
      <color rgb="FF2E75B6"/>
      <name val="Arial"/>
    </font>
    <font>
      <sz val="11"/>
      <color rgb="FF808080"/>
      <name val="Arial"/>
    </font>
    <font>
      <b/>
      <sz val="11"/>
      <color rgb="FF2E75B6"/>
      <name val="Arial"/>
    </font>
    <font>
      <sz val="11"/>
      <color rgb="FF008000"/>
      <name val="Calibri"/>
      <family val="2"/>
      <charset val="1"/>
    </font>
    <font>
      <sz val="11"/>
      <color rgb="FF008000"/>
      <name val="Arial"/>
    </font>
    <font>
      <b/>
      <sz val="13"/>
      <color rgb="FF008000"/>
      <name val="Arial"/>
    </font>
    <font>
      <b/>
      <sz val="18"/>
      <color rgb="FF008000"/>
      <name val="Arial"/>
    </font>
    <font>
      <b/>
      <sz val="1"/>
      <color rgb="FFFFFFFF"/>
      <name val="Arial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FF0000"/>
      <name val="Calibri"/>
      <family val="2"/>
      <charset val="1"/>
    </font>
    <font>
      <sz val="11"/>
      <color rgb="FFFF0000"/>
      <name val="Arial"/>
      <family val="2"/>
    </font>
    <font>
      <sz val="11"/>
      <color rgb="FF008000"/>
      <name val="Arial"/>
      <family val="2"/>
    </font>
    <font>
      <b/>
      <sz val="9"/>
      <color rgb="FF808080"/>
      <name val="Arial"/>
      <family val="2"/>
    </font>
    <font>
      <b/>
      <sz val="9"/>
      <color rgb="FF808080"/>
      <name val="Calibri"/>
      <family val="2"/>
      <charset val="1"/>
    </font>
    <font>
      <b/>
      <sz val="11"/>
      <color rgb="FF0000FF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9"/>
      <color rgb="FF808080"/>
      <name val="Calibri"/>
      <family val="2"/>
      <charset val="1"/>
    </font>
    <font>
      <i/>
      <sz val="9"/>
      <color rgb="FFFF66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C55A11"/>
      <name val="Calibri"/>
      <family val="2"/>
      <charset val="1"/>
    </font>
    <font>
      <b/>
      <sz val="14"/>
      <color rgb="FF008000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3366"/>
      </patternFill>
    </fill>
    <fill>
      <patternFill patternType="solid">
        <fgColor rgb="FF54823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D6E4F0"/>
      </bottom>
      <diagonal/>
    </border>
    <border>
      <left/>
      <right/>
      <top style="thin">
        <color rgb="FFD6E4F0"/>
      </top>
      <bottom style="thin">
        <color rgb="FFD6E4F0"/>
      </bottom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D6E4F0"/>
      </top>
      <bottom style="medium">
        <color rgb="FF1F4E79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81">
    <xf numFmtId="0" fontId="0" fillId="0" borderId="0" xfId="0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66" fontId="6" fillId="3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166" fontId="8" fillId="5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164" fontId="9" fillId="5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10" fillId="5" borderId="2" xfId="0" applyFont="1" applyFill="1" applyBorder="1" applyAlignment="1">
      <alignment horizontal="right" vertical="center"/>
    </xf>
    <xf numFmtId="166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0" fontId="8" fillId="0" borderId="1" xfId="0" applyFont="1" applyBorder="1"/>
    <xf numFmtId="0" fontId="5" fillId="7" borderId="0" xfId="0" applyFont="1" applyFill="1" applyAlignment="1">
      <alignment horizontal="left" vertical="center" wrapText="1"/>
    </xf>
    <xf numFmtId="164" fontId="5" fillId="7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left" vertical="center" wrapText="1"/>
    </xf>
    <xf numFmtId="164" fontId="8" fillId="5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3" fillId="8" borderId="0" xfId="0" applyFont="1" applyFill="1"/>
    <xf numFmtId="0" fontId="0" fillId="8" borderId="0" xfId="0" applyFill="1"/>
    <xf numFmtId="0" fontId="14" fillId="0" borderId="0" xfId="0" applyFont="1"/>
    <xf numFmtId="0" fontId="15" fillId="0" borderId="0" xfId="0" applyFont="1"/>
    <xf numFmtId="167" fontId="15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7" fontId="14" fillId="0" borderId="0" xfId="0" applyNumberFormat="1" applyFont="1" applyAlignment="1">
      <alignment horizontal="right"/>
    </xf>
    <xf numFmtId="10" fontId="15" fillId="0" borderId="0" xfId="0" applyNumberFormat="1" applyFont="1" applyAlignment="1">
      <alignment horizontal="right"/>
    </xf>
    <xf numFmtId="0" fontId="17" fillId="0" borderId="0" xfId="0" applyFont="1"/>
    <xf numFmtId="167" fontId="17" fillId="0" borderId="0" xfId="0" applyNumberFormat="1" applyFont="1" applyAlignment="1">
      <alignment horizontal="right"/>
    </xf>
    <xf numFmtId="0" fontId="13" fillId="12" borderId="0" xfId="0" applyFont="1" applyFill="1"/>
    <xf numFmtId="0" fontId="0" fillId="12" borderId="0" xfId="0" applyFill="1"/>
    <xf numFmtId="167" fontId="21" fillId="0" borderId="0" xfId="0" applyNumberFormat="1" applyFont="1" applyAlignment="1">
      <alignment horizontal="right"/>
    </xf>
    <xf numFmtId="10" fontId="21" fillId="0" borderId="0" xfId="0" applyNumberFormat="1" applyFont="1" applyAlignment="1">
      <alignment horizontal="right"/>
    </xf>
    <xf numFmtId="0" fontId="23" fillId="0" borderId="0" xfId="0" applyFont="1"/>
    <xf numFmtId="0" fontId="13" fillId="13" borderId="0" xfId="0" applyFont="1" applyFill="1"/>
    <xf numFmtId="0" fontId="0" fillId="13" borderId="0" xfId="0" applyFill="1"/>
    <xf numFmtId="167" fontId="19" fillId="0" borderId="0" xfId="0" applyNumberFormat="1" applyFont="1" applyAlignment="1">
      <alignment horizontal="right"/>
    </xf>
    <xf numFmtId="10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right"/>
    </xf>
    <xf numFmtId="167" fontId="26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0" fontId="16" fillId="9" borderId="3" xfId="0" applyFont="1" applyFill="1" applyBorder="1" applyAlignment="1">
      <alignment horizontal="center"/>
    </xf>
    <xf numFmtId="0" fontId="14" fillId="0" borderId="4" xfId="0" applyFont="1" applyBorder="1"/>
    <xf numFmtId="167" fontId="17" fillId="0" borderId="4" xfId="0" applyNumberFormat="1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2" fillId="0" borderId="4" xfId="0" applyFont="1" applyBorder="1"/>
    <xf numFmtId="167" fontId="19" fillId="10" borderId="4" xfId="0" applyNumberFormat="1" applyFont="1" applyFill="1" applyBorder="1" applyAlignment="1">
      <alignment horizontal="right"/>
    </xf>
    <xf numFmtId="0" fontId="20" fillId="10" borderId="4" xfId="0" applyFont="1" applyFill="1" applyBorder="1"/>
    <xf numFmtId="0" fontId="21" fillId="0" borderId="4" xfId="0" applyFont="1" applyBorder="1"/>
    <xf numFmtId="0" fontId="18" fillId="11" borderId="4" xfId="0" applyFont="1" applyFill="1" applyBorder="1" applyAlignment="1">
      <alignment horizontal="right"/>
    </xf>
    <xf numFmtId="167" fontId="21" fillId="11" borderId="4" xfId="0" applyNumberFormat="1" applyFont="1" applyFill="1" applyBorder="1" applyAlignment="1">
      <alignment horizontal="right"/>
    </xf>
    <xf numFmtId="0" fontId="22" fillId="11" borderId="4" xfId="0" applyFont="1" applyFill="1" applyBorder="1"/>
    <xf numFmtId="0" fontId="0" fillId="0" borderId="4" xfId="0" applyBorder="1"/>
    <xf numFmtId="0" fontId="13" fillId="8" borderId="6" xfId="0" applyFont="1" applyFill="1" applyBorder="1"/>
    <xf numFmtId="167" fontId="13" fillId="8" borderId="6" xfId="0" applyNumberFormat="1" applyFont="1" applyFill="1" applyBorder="1" applyAlignment="1">
      <alignment horizontal="right"/>
    </xf>
    <xf numFmtId="0" fontId="0" fillId="8" borderId="6" xfId="0" applyFill="1" applyBorder="1"/>
    <xf numFmtId="0" fontId="15" fillId="9" borderId="5" xfId="0" applyFont="1" applyFill="1" applyBorder="1"/>
    <xf numFmtId="167" fontId="15" fillId="9" borderId="5" xfId="0" applyNumberFormat="1" applyFont="1" applyFill="1" applyBorder="1" applyAlignment="1">
      <alignment horizontal="right"/>
    </xf>
    <xf numFmtId="0" fontId="29" fillId="9" borderId="0" xfId="0" applyFont="1" applyFill="1"/>
    <xf numFmtId="0" fontId="0" fillId="14" borderId="0" xfId="0" applyFill="1"/>
    <xf numFmtId="164" fontId="6" fillId="13" borderId="0" xfId="0" applyNumberFormat="1" applyFont="1" applyFill="1" applyAlignment="1">
      <alignment horizontal="right" vertical="center"/>
    </xf>
    <xf numFmtId="0" fontId="7" fillId="13" borderId="0" xfId="0" applyFont="1" applyFill="1" applyAlignment="1">
      <alignment horizontal="left" vertical="center" wrapText="1"/>
    </xf>
    <xf numFmtId="170" fontId="31" fillId="0" borderId="0" xfId="2" applyNumberFormat="1" applyFont="1" applyAlignment="1">
      <alignment horizontal="right" vertical="center"/>
    </xf>
    <xf numFmtId="44" fontId="31" fillId="0" borderId="0" xfId="1" applyFont="1" applyAlignment="1">
      <alignment horizontal="right" vertical="center"/>
    </xf>
    <xf numFmtId="0" fontId="32" fillId="7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34" fillId="13" borderId="0" xfId="0" applyFont="1" applyFill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169" fontId="35" fillId="16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164" fontId="37" fillId="10" borderId="0" xfId="0" applyNumberFormat="1" applyFont="1" applyFill="1" applyAlignment="1">
      <alignment horizontal="right" vertical="center"/>
    </xf>
    <xf numFmtId="0" fontId="38" fillId="0" borderId="0" xfId="0" applyFont="1" applyAlignment="1">
      <alignment horizontal="left" vertical="center" wrapText="1"/>
    </xf>
    <xf numFmtId="169" fontId="37" fillId="10" borderId="0" xfId="0" applyNumberFormat="1" applyFont="1" applyFill="1" applyAlignment="1">
      <alignment horizontal="right"/>
    </xf>
    <xf numFmtId="0" fontId="40" fillId="0" borderId="0" xfId="0" applyFont="1" applyAlignment="1">
      <alignment horizontal="left" vertical="center" wrapText="1"/>
    </xf>
    <xf numFmtId="0" fontId="35" fillId="0" borderId="0" xfId="0" applyFont="1"/>
    <xf numFmtId="0" fontId="40" fillId="0" borderId="0" xfId="0" applyFont="1"/>
    <xf numFmtId="169" fontId="40" fillId="9" borderId="0" xfId="0" applyNumberFormat="1" applyFont="1" applyFill="1" applyAlignment="1">
      <alignment horizontal="right"/>
    </xf>
    <xf numFmtId="0" fontId="41" fillId="0" borderId="0" xfId="0" applyFont="1" applyAlignment="1">
      <alignment horizontal="left" vertical="center" wrapText="1"/>
    </xf>
    <xf numFmtId="0" fontId="42" fillId="14" borderId="0" xfId="0" applyFont="1" applyFill="1"/>
    <xf numFmtId="0" fontId="43" fillId="14" borderId="0" xfId="0" applyFont="1" applyFill="1"/>
    <xf numFmtId="0" fontId="34" fillId="8" borderId="0" xfId="0" applyFont="1" applyFill="1"/>
    <xf numFmtId="167" fontId="44" fillId="0" borderId="0" xfId="0" applyNumberFormat="1" applyFont="1" applyAlignment="1">
      <alignment horizontal="right"/>
    </xf>
    <xf numFmtId="0" fontId="45" fillId="8" borderId="0" xfId="0" applyFont="1" applyFill="1" applyAlignment="1">
      <alignment horizontal="right"/>
    </xf>
    <xf numFmtId="167" fontId="35" fillId="0" borderId="0" xfId="0" applyNumberFormat="1" applyFont="1" applyAlignment="1">
      <alignment horizontal="right"/>
    </xf>
    <xf numFmtId="0" fontId="36" fillId="0" borderId="0" xfId="0" applyFont="1"/>
    <xf numFmtId="0" fontId="46" fillId="14" borderId="0" xfId="0" applyFont="1" applyFill="1"/>
    <xf numFmtId="167" fontId="0" fillId="0" borderId="0" xfId="0" applyNumberFormat="1"/>
    <xf numFmtId="167" fontId="47" fillId="14" borderId="0" xfId="0" applyNumberFormat="1" applyFont="1" applyFill="1" applyAlignment="1">
      <alignment horizontal="right"/>
    </xf>
    <xf numFmtId="0" fontId="48" fillId="9" borderId="0" xfId="0" applyFont="1" applyFill="1"/>
    <xf numFmtId="0" fontId="48" fillId="9" borderId="0" xfId="0" applyFont="1" applyFill="1" applyAlignment="1">
      <alignment horizontal="left"/>
    </xf>
    <xf numFmtId="0" fontId="48" fillId="9" borderId="0" xfId="0" applyFont="1" applyFill="1" applyAlignment="1">
      <alignment horizontal="right"/>
    </xf>
    <xf numFmtId="170" fontId="35" fillId="0" borderId="0" xfId="0" applyNumberFormat="1" applyFont="1" applyAlignment="1">
      <alignment horizontal="right"/>
    </xf>
    <xf numFmtId="0" fontId="49" fillId="15" borderId="0" xfId="0" applyFont="1" applyFill="1"/>
    <xf numFmtId="167" fontId="51" fillId="15" borderId="0" xfId="0" applyNumberFormat="1" applyFont="1" applyFill="1" applyAlignment="1">
      <alignment horizontal="right"/>
    </xf>
    <xf numFmtId="0" fontId="52" fillId="0" borderId="0" xfId="0" applyFont="1"/>
    <xf numFmtId="0" fontId="42" fillId="13" borderId="0" xfId="0" applyFont="1" applyFill="1"/>
    <xf numFmtId="0" fontId="43" fillId="13" borderId="0" xfId="0" applyFont="1" applyFill="1"/>
    <xf numFmtId="167" fontId="53" fillId="10" borderId="0" xfId="0" applyNumberFormat="1" applyFont="1" applyFill="1" applyAlignment="1">
      <alignment horizontal="right"/>
    </xf>
    <xf numFmtId="0" fontId="54" fillId="0" borderId="0" xfId="0" applyFont="1"/>
    <xf numFmtId="169" fontId="54" fillId="0" borderId="0" xfId="0" applyNumberFormat="1" applyFont="1" applyAlignment="1">
      <alignment horizontal="right"/>
    </xf>
    <xf numFmtId="169" fontId="35" fillId="0" borderId="0" xfId="0" applyNumberFormat="1" applyFont="1" applyAlignment="1">
      <alignment horizontal="right"/>
    </xf>
    <xf numFmtId="0" fontId="0" fillId="9" borderId="0" xfId="0" applyFill="1"/>
    <xf numFmtId="167" fontId="35" fillId="0" borderId="0" xfId="0" applyNumberFormat="1" applyFont="1"/>
    <xf numFmtId="167" fontId="55" fillId="10" borderId="0" xfId="0" applyNumberFormat="1" applyFont="1" applyFill="1"/>
    <xf numFmtId="167" fontId="55" fillId="10" borderId="0" xfId="0" applyNumberFormat="1" applyFont="1" applyFill="1" applyAlignment="1">
      <alignment horizontal="right"/>
    </xf>
    <xf numFmtId="0" fontId="42" fillId="12" borderId="0" xfId="0" applyFont="1" applyFill="1"/>
    <xf numFmtId="0" fontId="43" fillId="12" borderId="0" xfId="0" applyFont="1" applyFill="1"/>
    <xf numFmtId="170" fontId="57" fillId="0" borderId="0" xfId="0" applyNumberFormat="1" applyFont="1" applyAlignment="1">
      <alignment horizontal="right"/>
    </xf>
    <xf numFmtId="169" fontId="57" fillId="0" borderId="0" xfId="0" applyNumberFormat="1" applyFont="1" applyAlignment="1">
      <alignment horizontal="right"/>
    </xf>
    <xf numFmtId="0" fontId="58" fillId="17" borderId="0" xfId="0" applyFont="1" applyFill="1"/>
    <xf numFmtId="167" fontId="59" fillId="17" borderId="0" xfId="0" applyNumberFormat="1" applyFont="1" applyFill="1" applyAlignment="1">
      <alignment horizontal="right"/>
    </xf>
    <xf numFmtId="0" fontId="0" fillId="17" borderId="0" xfId="0" applyFill="1"/>
    <xf numFmtId="167" fontId="40" fillId="0" borderId="0" xfId="0" applyNumberFormat="1" applyFont="1" applyAlignment="1">
      <alignment horizontal="right"/>
    </xf>
    <xf numFmtId="171" fontId="54" fillId="0" borderId="0" xfId="0" applyNumberFormat="1" applyFont="1" applyAlignment="1">
      <alignment horizontal="right"/>
    </xf>
    <xf numFmtId="169" fontId="40" fillId="0" borderId="0" xfId="0" applyNumberFormat="1" applyFont="1" applyAlignment="1">
      <alignment horizontal="right"/>
    </xf>
    <xf numFmtId="0" fontId="60" fillId="9" borderId="0" xfId="0" applyFont="1" applyFill="1" applyAlignment="1">
      <alignment horizontal="right"/>
    </xf>
    <xf numFmtId="0" fontId="34" fillId="8" borderId="0" xfId="0" applyFont="1" applyFill="1" applyAlignment="1">
      <alignment horizontal="left" vertical="center" wrapText="1"/>
    </xf>
    <xf numFmtId="0" fontId="35" fillId="0" borderId="0" xfId="0" applyFont="1" applyAlignment="1">
      <alignment horizontal="center"/>
    </xf>
    <xf numFmtId="0" fontId="40" fillId="9" borderId="0" xfId="0" applyFont="1" applyFill="1" applyAlignment="1">
      <alignment horizontal="left"/>
    </xf>
    <xf numFmtId="167" fontId="40" fillId="9" borderId="0" xfId="0" applyNumberFormat="1" applyFont="1" applyFill="1" applyAlignment="1">
      <alignment horizontal="right"/>
    </xf>
    <xf numFmtId="0" fontId="35" fillId="18" borderId="0" xfId="0" applyFont="1" applyFill="1" applyAlignment="1">
      <alignment horizontal="left" vertical="center" wrapText="1"/>
    </xf>
    <xf numFmtId="167" fontId="35" fillId="18" borderId="0" xfId="0" applyNumberFormat="1" applyFont="1" applyFill="1" applyAlignment="1">
      <alignment horizontal="right"/>
    </xf>
    <xf numFmtId="0" fontId="40" fillId="9" borderId="0" xfId="0" applyFont="1" applyFill="1" applyAlignment="1">
      <alignment horizontal="left" vertical="center" wrapText="1"/>
    </xf>
    <xf numFmtId="0" fontId="48" fillId="0" borderId="7" xfId="0" applyFont="1" applyBorder="1" applyAlignment="1">
      <alignment horizontal="center" vertical="center" wrapText="1"/>
    </xf>
    <xf numFmtId="0" fontId="48" fillId="0" borderId="7" xfId="0" applyFont="1" applyBorder="1" applyAlignment="1">
      <alignment horizontal="center"/>
    </xf>
    <xf numFmtId="0" fontId="0" fillId="19" borderId="0" xfId="0" applyFill="1"/>
    <xf numFmtId="0" fontId="5" fillId="0" borderId="0" xfId="0" applyFont="1"/>
    <xf numFmtId="0" fontId="6" fillId="10" borderId="0" xfId="0" applyFont="1" applyFill="1" applyAlignment="1">
      <alignment horizontal="right"/>
    </xf>
    <xf numFmtId="1" fontId="6" fillId="10" borderId="0" xfId="0" applyNumberFormat="1" applyFont="1" applyFill="1" applyAlignment="1">
      <alignment horizontal="right"/>
    </xf>
    <xf numFmtId="169" fontId="5" fillId="16" borderId="0" xfId="0" applyNumberFormat="1" applyFont="1" applyFill="1" applyAlignment="1">
      <alignment horizontal="right"/>
    </xf>
    <xf numFmtId="172" fontId="6" fillId="10" borderId="0" xfId="0" applyNumberFormat="1" applyFont="1" applyFill="1" applyAlignment="1">
      <alignment horizontal="right"/>
    </xf>
    <xf numFmtId="0" fontId="4" fillId="13" borderId="0" xfId="0" applyFont="1" applyFill="1"/>
    <xf numFmtId="0" fontId="4" fillId="13" borderId="0" xfId="0" applyFont="1" applyFill="1" applyAlignment="1">
      <alignment horizontal="left"/>
    </xf>
    <xf numFmtId="167" fontId="6" fillId="10" borderId="0" xfId="0" applyNumberFormat="1" applyFont="1" applyFill="1" applyAlignment="1">
      <alignment horizontal="right"/>
    </xf>
    <xf numFmtId="2" fontId="6" fillId="10" borderId="0" xfId="0" applyNumberFormat="1" applyFont="1" applyFill="1" applyAlignment="1">
      <alignment horizontal="right"/>
    </xf>
    <xf numFmtId="0" fontId="7" fillId="0" borderId="0" xfId="0" applyFont="1"/>
    <xf numFmtId="169" fontId="6" fillId="10" borderId="0" xfId="0" applyNumberFormat="1" applyFont="1" applyFill="1" applyAlignment="1">
      <alignment horizontal="right"/>
    </xf>
    <xf numFmtId="3" fontId="5" fillId="16" borderId="0" xfId="0" applyNumberFormat="1" applyFont="1" applyFill="1" applyAlignment="1">
      <alignment horizontal="right"/>
    </xf>
    <xf numFmtId="0" fontId="6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9" borderId="0" xfId="0" applyFont="1" applyFill="1"/>
    <xf numFmtId="167" fontId="8" fillId="9" borderId="0" xfId="0" applyNumberFormat="1" applyFont="1" applyFill="1" applyAlignment="1">
      <alignment horizontal="right"/>
    </xf>
    <xf numFmtId="0" fontId="2" fillId="0" borderId="0" xfId="0" applyFont="1"/>
    <xf numFmtId="0" fontId="62" fillId="8" borderId="0" xfId="0" applyFont="1" applyFill="1" applyAlignment="1">
      <alignment horizontal="center"/>
    </xf>
    <xf numFmtId="0" fontId="62" fillId="13" borderId="0" xfId="0" applyFont="1" applyFill="1" applyAlignment="1">
      <alignment horizontal="center"/>
    </xf>
    <xf numFmtId="0" fontId="62" fillId="21" borderId="0" xfId="0" applyFont="1" applyFill="1" applyAlignment="1">
      <alignment horizontal="center"/>
    </xf>
    <xf numFmtId="0" fontId="62" fillId="14" borderId="0" xfId="0" applyFont="1" applyFill="1" applyAlignment="1">
      <alignment horizontal="center"/>
    </xf>
    <xf numFmtId="167" fontId="5" fillId="0" borderId="0" xfId="0" applyNumberFormat="1" applyFont="1" applyAlignment="1">
      <alignment horizontal="right"/>
    </xf>
    <xf numFmtId="0" fontId="4" fillId="8" borderId="0" xfId="0" applyFont="1" applyFill="1"/>
    <xf numFmtId="3" fontId="5" fillId="0" borderId="0" xfId="0" applyNumberFormat="1" applyFont="1" applyAlignment="1">
      <alignment horizontal="right"/>
    </xf>
    <xf numFmtId="3" fontId="0" fillId="0" borderId="0" xfId="0" applyNumberFormat="1"/>
    <xf numFmtId="3" fontId="8" fillId="9" borderId="0" xfId="0" applyNumberFormat="1" applyFont="1" applyFill="1" applyAlignment="1">
      <alignment horizontal="right"/>
    </xf>
    <xf numFmtId="0" fontId="61" fillId="9" borderId="0" xfId="0" applyFont="1" applyFill="1" applyAlignment="1">
      <alignment horizontal="center"/>
    </xf>
    <xf numFmtId="0" fontId="61" fillId="22" borderId="0" xfId="0" applyFont="1" applyFill="1" applyAlignment="1">
      <alignment horizontal="center"/>
    </xf>
    <xf numFmtId="0" fontId="61" fillId="17" borderId="0" xfId="0" applyFont="1" applyFill="1" applyAlignment="1">
      <alignment horizontal="center"/>
    </xf>
    <xf numFmtId="167" fontId="63" fillId="0" borderId="0" xfId="0" applyNumberFormat="1" applyFont="1"/>
    <xf numFmtId="167" fontId="64" fillId="0" borderId="0" xfId="0" applyNumberFormat="1" applyFont="1" applyAlignment="1">
      <alignment horizontal="right"/>
    </xf>
    <xf numFmtId="0" fontId="65" fillId="0" borderId="0" xfId="0" applyFont="1"/>
    <xf numFmtId="167" fontId="65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7" fontId="30" fillId="9" borderId="0" xfId="0" applyNumberFormat="1" applyFont="1" applyFill="1" applyAlignment="1">
      <alignment horizontal="right"/>
    </xf>
    <xf numFmtId="167" fontId="21" fillId="9" borderId="0" xfId="0" applyNumberFormat="1" applyFont="1" applyFill="1" applyAlignment="1">
      <alignment horizontal="right"/>
    </xf>
    <xf numFmtId="167" fontId="9" fillId="9" borderId="0" xfId="0" applyNumberFormat="1" applyFont="1" applyFill="1" applyAlignment="1">
      <alignment horizontal="right"/>
    </xf>
    <xf numFmtId="0" fontId="66" fillId="14" borderId="0" xfId="0" applyFont="1" applyFill="1" applyAlignment="1">
      <alignment horizontal="center"/>
    </xf>
    <xf numFmtId="0" fontId="67" fillId="0" borderId="0" xfId="0" applyFont="1"/>
    <xf numFmtId="0" fontId="66" fillId="0" borderId="0" xfId="0" applyFont="1"/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67" fontId="17" fillId="0" borderId="0" xfId="0" applyNumberFormat="1" applyFont="1"/>
    <xf numFmtId="0" fontId="69" fillId="0" borderId="0" xfId="0" applyFont="1"/>
    <xf numFmtId="0" fontId="68" fillId="10" borderId="0" xfId="0" applyFont="1" applyFill="1" applyAlignment="1">
      <alignment horizontal="center"/>
    </xf>
    <xf numFmtId="15" fontId="6" fillId="3" borderId="0" xfId="0" applyNumberFormat="1" applyFont="1" applyFill="1" applyAlignment="1">
      <alignment horizontal="right" vertical="center"/>
    </xf>
    <xf numFmtId="167" fontId="52" fillId="0" borderId="0" xfId="0" applyNumberFormat="1" applyFont="1"/>
    <xf numFmtId="0" fontId="70" fillId="13" borderId="0" xfId="0" applyFont="1" applyFill="1"/>
    <xf numFmtId="10" fontId="0" fillId="0" borderId="0" xfId="0" applyNumberFormat="1"/>
    <xf numFmtId="0" fontId="71" fillId="0" borderId="0" xfId="0" applyFont="1"/>
    <xf numFmtId="169" fontId="39" fillId="10" borderId="0" xfId="0" applyNumberFormat="1" applyFont="1" applyFill="1"/>
    <xf numFmtId="169" fontId="39" fillId="10" borderId="0" xfId="0" applyNumberFormat="1" applyFont="1" applyFill="1" applyAlignment="1">
      <alignment horizontal="right"/>
    </xf>
    <xf numFmtId="0" fontId="72" fillId="0" borderId="0" xfId="0" applyFont="1"/>
    <xf numFmtId="167" fontId="69" fillId="0" borderId="0" xfId="0" applyNumberFormat="1" applyFont="1"/>
    <xf numFmtId="167" fontId="69" fillId="9" borderId="0" xfId="0" applyNumberFormat="1" applyFont="1" applyFill="1"/>
    <xf numFmtId="0" fontId="69" fillId="9" borderId="0" xfId="0" applyFont="1" applyFill="1"/>
    <xf numFmtId="10" fontId="17" fillId="0" borderId="0" xfId="0" applyNumberFormat="1" applyFont="1"/>
    <xf numFmtId="169" fontId="17" fillId="0" borderId="0" xfId="0" applyNumberFormat="1" applyFont="1"/>
    <xf numFmtId="167" fontId="29" fillId="9" borderId="0" xfId="0" applyNumberFormat="1" applyFont="1" applyFill="1"/>
    <xf numFmtId="0" fontId="70" fillId="8" borderId="0" xfId="0" applyFont="1" applyFill="1"/>
    <xf numFmtId="10" fontId="69" fillId="0" borderId="0" xfId="0" applyNumberFormat="1" applyFont="1"/>
    <xf numFmtId="173" fontId="63" fillId="0" borderId="0" xfId="0" applyNumberFormat="1" applyFont="1"/>
    <xf numFmtId="174" fontId="63" fillId="0" borderId="0" xfId="0" applyNumberFormat="1" applyFont="1"/>
    <xf numFmtId="10" fontId="74" fillId="9" borderId="0" xfId="0" applyNumberFormat="1" applyFont="1" applyFill="1"/>
    <xf numFmtId="0" fontId="76" fillId="13" borderId="0" xfId="0" applyFont="1" applyFill="1" applyAlignment="1">
      <alignment horizontal="center"/>
    </xf>
    <xf numFmtId="1" fontId="77" fillId="0" borderId="0" xfId="0" applyNumberFormat="1" applyFont="1" applyAlignment="1">
      <alignment horizontal="center"/>
    </xf>
    <xf numFmtId="0" fontId="39" fillId="10" borderId="0" xfId="0" applyFont="1" applyFill="1"/>
    <xf numFmtId="0" fontId="0" fillId="0" borderId="0" xfId="0" applyAlignment="1">
      <alignment horizontal="center"/>
    </xf>
    <xf numFmtId="0" fontId="75" fillId="22" borderId="0" xfId="0" applyFont="1" applyFill="1" applyAlignment="1">
      <alignment horizontal="center"/>
    </xf>
    <xf numFmtId="167" fontId="78" fillId="0" borderId="0" xfId="0" applyNumberFormat="1" applyFont="1"/>
    <xf numFmtId="0" fontId="69" fillId="22" borderId="0" xfId="0" applyFont="1" applyFill="1" applyAlignment="1">
      <alignment horizontal="center"/>
    </xf>
    <xf numFmtId="167" fontId="50" fillId="0" borderId="0" xfId="0" applyNumberFormat="1" applyFont="1"/>
    <xf numFmtId="167" fontId="78" fillId="9" borderId="0" xfId="0" applyNumberFormat="1" applyFont="1" applyFill="1"/>
    <xf numFmtId="167" fontId="66" fillId="0" borderId="0" xfId="0" applyNumberFormat="1" applyFont="1" applyAlignment="1">
      <alignment horizontal="right"/>
    </xf>
    <xf numFmtId="0" fontId="4" fillId="8" borderId="0" xfId="0" applyFont="1" applyFill="1" applyAlignment="1">
      <alignment horizontal="center"/>
    </xf>
    <xf numFmtId="175" fontId="0" fillId="0" borderId="0" xfId="0" applyNumberFormat="1"/>
    <xf numFmtId="17" fontId="0" fillId="0" borderId="0" xfId="0" applyNumberFormat="1"/>
    <xf numFmtId="15" fontId="0" fillId="0" borderId="0" xfId="0" applyNumberFormat="1"/>
    <xf numFmtId="14" fontId="17" fillId="0" borderId="0" xfId="0" applyNumberFormat="1" applyFont="1"/>
    <xf numFmtId="9" fontId="0" fillId="0" borderId="0" xfId="0" applyNumberFormat="1"/>
    <xf numFmtId="0" fontId="70" fillId="21" borderId="0" xfId="0" applyFont="1" applyFill="1"/>
    <xf numFmtId="167" fontId="56" fillId="0" borderId="0" xfId="0" applyNumberFormat="1" applyFont="1"/>
    <xf numFmtId="0" fontId="70" fillId="14" borderId="0" xfId="0" applyFont="1" applyFill="1"/>
    <xf numFmtId="10" fontId="79" fillId="0" borderId="0" xfId="0" applyNumberFormat="1" applyFont="1"/>
    <xf numFmtId="1" fontId="73" fillId="0" borderId="0" xfId="0" applyNumberFormat="1" applyFont="1"/>
    <xf numFmtId="0" fontId="4" fillId="21" borderId="0" xfId="0" applyFont="1" applyFill="1"/>
    <xf numFmtId="0" fontId="4" fillId="14" borderId="0" xfId="0" applyFont="1" applyFill="1"/>
    <xf numFmtId="0" fontId="80" fillId="9" borderId="0" xfId="0" applyFont="1" applyFill="1"/>
    <xf numFmtId="9" fontId="69" fillId="9" borderId="0" xfId="0" applyNumberFormat="1" applyFont="1" applyFill="1" applyAlignment="1">
      <alignment horizontal="center"/>
    </xf>
    <xf numFmtId="0" fontId="69" fillId="9" borderId="0" xfId="0" applyFont="1" applyFill="1" applyAlignment="1">
      <alignment horizontal="center"/>
    </xf>
    <xf numFmtId="168" fontId="0" fillId="0" borderId="0" xfId="0" applyNumberFormat="1"/>
    <xf numFmtId="168" fontId="69" fillId="23" borderId="0" xfId="0" applyNumberFormat="1" applyFont="1" applyFill="1"/>
    <xf numFmtId="0" fontId="4" fillId="2" borderId="0" xfId="0" applyFont="1" applyFill="1" applyAlignment="1">
      <alignment horizontal="left" vertical="center" wrapText="1"/>
    </xf>
    <xf numFmtId="0" fontId="33" fillId="2" borderId="0" xfId="0" applyFont="1" applyFill="1" applyAlignment="1">
      <alignment horizontal="left" vertical="center" wrapText="1"/>
    </xf>
    <xf numFmtId="0" fontId="30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10" borderId="0" xfId="0" applyFont="1" applyFill="1" applyAlignment="1">
      <alignment horizontal="right" vertical="center" wrapText="1"/>
    </xf>
    <xf numFmtId="0" fontId="3" fillId="0" borderId="0" xfId="0" applyFont="1"/>
    <xf numFmtId="0" fontId="34" fillId="8" borderId="0" xfId="0" applyFont="1" applyFill="1" applyAlignment="1">
      <alignment horizontal="left" vertical="center" wrapText="1"/>
    </xf>
    <xf numFmtId="0" fontId="30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0" borderId="0" xfId="0" applyFont="1" applyFill="1" applyAlignment="1">
      <alignment horizontal="left" vertical="center" wrapText="1"/>
    </xf>
    <xf numFmtId="44" fontId="1" fillId="0" borderId="0" xfId="1"/>
    <xf numFmtId="3" fontId="81" fillId="0" borderId="0" xfId="0" applyNumberFormat="1" applyFont="1"/>
    <xf numFmtId="44" fontId="0" fillId="0" borderId="0" xfId="0" applyNumberFormat="1"/>
    <xf numFmtId="164" fontId="0" fillId="0" borderId="0" xfId="0" applyNumberFormat="1"/>
    <xf numFmtId="164" fontId="82" fillId="5" borderId="2" xfId="0" applyNumberFormat="1" applyFont="1" applyFill="1" applyBorder="1"/>
    <xf numFmtId="166" fontId="82" fillId="5" borderId="2" xfId="0" applyNumberFormat="1" applyFont="1" applyFill="1" applyBorder="1"/>
    <xf numFmtId="165" fontId="6" fillId="10" borderId="0" xfId="0" applyNumberFormat="1" applyFont="1" applyFill="1" applyAlignment="1">
      <alignment horizontal="right" vertical="center"/>
    </xf>
    <xf numFmtId="165" fontId="5" fillId="16" borderId="0" xfId="0" applyNumberFormat="1" applyFont="1" applyFill="1" applyAlignment="1">
      <alignment horizontal="right" vertical="center"/>
    </xf>
    <xf numFmtId="0" fontId="4" fillId="13" borderId="0" xfId="0" applyFont="1" applyFill="1" applyAlignment="1">
      <alignment horizontal="left" vertical="center" wrapText="1"/>
    </xf>
    <xf numFmtId="0" fontId="5" fillId="24" borderId="0" xfId="0" applyFont="1" applyFill="1" applyAlignment="1">
      <alignment horizontal="left" vertical="center" wrapText="1"/>
    </xf>
    <xf numFmtId="180" fontId="5" fillId="16" borderId="0" xfId="0" applyNumberFormat="1" applyFont="1" applyFill="1" applyAlignment="1">
      <alignment horizontal="right" vertical="center"/>
    </xf>
    <xf numFmtId="0" fontId="8" fillId="9" borderId="0" xfId="0" applyFont="1" applyFill="1" applyAlignment="1">
      <alignment horizontal="right" vertical="center" wrapText="1"/>
    </xf>
    <xf numFmtId="180" fontId="8" fillId="9" borderId="0" xfId="0" applyNumberFormat="1" applyFont="1" applyFill="1" applyAlignment="1">
      <alignment horizontal="right" vertical="center"/>
    </xf>
    <xf numFmtId="165" fontId="8" fillId="9" borderId="0" xfId="0" applyNumberFormat="1" applyFont="1" applyFill="1" applyAlignment="1">
      <alignment horizontal="right" vertical="center"/>
    </xf>
    <xf numFmtId="0" fontId="5" fillId="24" borderId="4" xfId="0" applyFont="1" applyFill="1" applyBorder="1"/>
    <xf numFmtId="0" fontId="5" fillId="24" borderId="4" xfId="0" applyFont="1" applyFill="1" applyBorder="1" applyAlignment="1">
      <alignment horizontal="left"/>
    </xf>
    <xf numFmtId="167" fontId="5" fillId="24" borderId="4" xfId="0" applyNumberFormat="1" applyFont="1" applyFill="1" applyBorder="1" applyAlignment="1">
      <alignment horizontal="right"/>
    </xf>
    <xf numFmtId="0" fontId="10" fillId="24" borderId="4" xfId="0" applyFont="1" applyFill="1" applyBorder="1" applyAlignment="1">
      <alignment horizontal="right"/>
    </xf>
    <xf numFmtId="0" fontId="3" fillId="0" borderId="4" xfId="0" applyFont="1" applyBorder="1"/>
    <xf numFmtId="0" fontId="8" fillId="24" borderId="4" xfId="0" applyFont="1" applyFill="1" applyBorder="1" applyAlignment="1">
      <alignment horizontal="left"/>
    </xf>
    <xf numFmtId="167" fontId="8" fillId="24" borderId="4" xfId="0" applyNumberFormat="1" applyFont="1" applyFill="1" applyBorder="1" applyAlignment="1">
      <alignment horizontal="right"/>
    </xf>
    <xf numFmtId="0" fontId="10" fillId="10" borderId="4" xfId="0" applyFont="1" applyFill="1" applyBorder="1" applyAlignment="1">
      <alignment horizontal="right"/>
    </xf>
    <xf numFmtId="0" fontId="3" fillId="10" borderId="4" xfId="0" applyFont="1" applyFill="1" applyBorder="1"/>
    <xf numFmtId="0" fontId="19" fillId="10" borderId="4" xfId="0" applyFont="1" applyFill="1" applyBorder="1" applyAlignment="1">
      <alignment horizontal="left"/>
    </xf>
    <xf numFmtId="0" fontId="61" fillId="0" borderId="7" xfId="0" applyFont="1" applyBorder="1" applyAlignment="1">
      <alignment horizontal="center"/>
    </xf>
    <xf numFmtId="167" fontId="5" fillId="24" borderId="0" xfId="0" applyNumberFormat="1" applyFont="1" applyFill="1" applyAlignment="1">
      <alignment horizontal="right"/>
    </xf>
    <xf numFmtId="0" fontId="83" fillId="0" borderId="0" xfId="0" applyFont="1"/>
    <xf numFmtId="167" fontId="83" fillId="0" borderId="0" xfId="0" applyNumberFormat="1" applyFont="1" applyAlignment="1">
      <alignment horizontal="right"/>
    </xf>
    <xf numFmtId="0" fontId="0" fillId="23" borderId="0" xfId="0" applyFill="1"/>
    <xf numFmtId="0" fontId="2" fillId="23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PPVA Fund Value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'キャリア Carrier Illust.'!$N$125:$P$125</c:f>
              <c:strCache>
                <c:ptCount val="3"/>
                <c:pt idx="0">
                  <c:v>60</c:v>
                </c:pt>
                <c:pt idx="1">
                  <c:v>420279641.9</c:v>
                </c:pt>
                <c:pt idx="2">
                  <c:v>483249167.5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'キャリア Carrier Illust.'!$Q$4:$Q$124</c:f>
              <c:strCache>
                <c:ptCount val="61"/>
                <c:pt idx="0">
                  <c:v>Alt 2 (7.0%)</c:v>
                </c:pt>
                <c:pt idx="1">
                  <c:v>12916768.68</c:v>
                </c:pt>
                <c:pt idx="2">
                  <c:v>13800080.4</c:v>
                </c:pt>
                <c:pt idx="3">
                  <c:v>14743802.3</c:v>
                </c:pt>
                <c:pt idx="4">
                  <c:v>15752066.02</c:v>
                </c:pt>
                <c:pt idx="5">
                  <c:v>16829285.79</c:v>
                </c:pt>
                <c:pt idx="6">
                  <c:v>17980177.71</c:v>
                </c:pt>
                <c:pt idx="7">
                  <c:v>19209780.48</c:v>
                </c:pt>
                <c:pt idx="8">
                  <c:v>20523477.38</c:v>
                </c:pt>
                <c:pt idx="9">
                  <c:v>21927019.9</c:v>
                </c:pt>
                <c:pt idx="10">
                  <c:v>23426552.89</c:v>
                </c:pt>
                <c:pt idx="11">
                  <c:v>25028641.47</c:v>
                </c:pt>
                <c:pt idx="12">
                  <c:v>26740299.79</c:v>
                </c:pt>
                <c:pt idx="13">
                  <c:v>28569021.7</c:v>
                </c:pt>
                <c:pt idx="14">
                  <c:v>30522813.63</c:v>
                </c:pt>
                <c:pt idx="15">
                  <c:v>32610229.57</c:v>
                </c:pt>
                <c:pt idx="16">
                  <c:v>34840408.56</c:v>
                </c:pt>
                <c:pt idx="17">
                  <c:v>37223114.71</c:v>
                </c:pt>
                <c:pt idx="18">
                  <c:v>39768779.95</c:v>
                </c:pt>
                <c:pt idx="19">
                  <c:v>42488549.67</c:v>
                </c:pt>
                <c:pt idx="20">
                  <c:v>45394331.55</c:v>
                </c:pt>
                <c:pt idx="21">
                  <c:v>48498847.72</c:v>
                </c:pt>
                <c:pt idx="22">
                  <c:v>51815690.39</c:v>
                </c:pt>
                <c:pt idx="23">
                  <c:v>55359381.44</c:v>
                </c:pt>
                <c:pt idx="24">
                  <c:v>59145435.95</c:v>
                </c:pt>
                <c:pt idx="25">
                  <c:v>63190430.14</c:v>
                </c:pt>
                <c:pt idx="26">
                  <c:v>67512073.97</c:v>
                </c:pt>
                <c:pt idx="27">
                  <c:v>72129288.66</c:v>
                </c:pt>
                <c:pt idx="28">
                  <c:v>77062289.54</c:v>
                </c:pt>
                <c:pt idx="29">
                  <c:v>82332674.57</c:v>
                </c:pt>
                <c:pt idx="30">
                  <c:v>87963518.87</c:v>
                </c:pt>
                <c:pt idx="31">
                  <c:v>93979475.79</c:v>
                </c:pt>
                <c:pt idx="32">
                  <c:v>100406884.9</c:v>
                </c:pt>
                <c:pt idx="33">
                  <c:v>107273887</c:v>
                </c:pt>
                <c:pt idx="34">
                  <c:v>114610548</c:v>
                </c:pt>
                <c:pt idx="35">
                  <c:v>122448989.9</c:v>
                </c:pt>
                <c:pt idx="36">
                  <c:v>130823531.6</c:v>
                </c:pt>
                <c:pt idx="37">
                  <c:v>139770839.3</c:v>
                </c:pt>
                <c:pt idx="38">
                  <c:v>149330087.1</c:v>
                </c:pt>
                <c:pt idx="39">
                  <c:v>159543128.3</c:v>
                </c:pt>
                <c:pt idx="40">
                  <c:v>170454678.8</c:v>
                </c:pt>
                <c:pt idx="41">
                  <c:v>182112512.7</c:v>
                </c:pt>
                <c:pt idx="42">
                  <c:v>194567671.7</c:v>
                </c:pt>
                <c:pt idx="43">
                  <c:v>207874688.6</c:v>
                </c:pt>
                <c:pt idx="44">
                  <c:v>222091825.7</c:v>
                </c:pt>
                <c:pt idx="45">
                  <c:v>237281330.3</c:v>
                </c:pt>
                <c:pt idx="46">
                  <c:v>253509707.1</c:v>
                </c:pt>
                <c:pt idx="47">
                  <c:v>270848009.3</c:v>
                </c:pt>
                <c:pt idx="48">
                  <c:v>289372150</c:v>
                </c:pt>
                <c:pt idx="49">
                  <c:v>309163233.9</c:v>
                </c:pt>
                <c:pt idx="50">
                  <c:v>330307913.3</c:v>
                </c:pt>
                <c:pt idx="51">
                  <c:v>352898766.8</c:v>
                </c:pt>
                <c:pt idx="52">
                  <c:v>377034705.1</c:v>
                </c:pt>
                <c:pt idx="53">
                  <c:v>402821403.7</c:v>
                </c:pt>
                <c:pt idx="54">
                  <c:v>430371765.9</c:v>
                </c:pt>
                <c:pt idx="55">
                  <c:v>459806416.8</c:v>
                </c:pt>
                <c:pt idx="56">
                  <c:v>491254231.9</c:v>
                </c:pt>
                <c:pt idx="57">
                  <c:v>524852901</c:v>
                </c:pt>
                <c:pt idx="58">
                  <c:v>560749531.1</c:v>
                </c:pt>
                <c:pt idx="59">
                  <c:v>599101290.7</c:v>
                </c:pt>
                <c:pt idx="60">
                  <c:v>640076097.8</c:v>
                </c:pt>
              </c:strCache>
            </c:strRef>
          </c:cat>
          <c:val>
            <c:numRef>
              <c:f>'キャリア Carrier Illust.'!$Q$125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0-4DB0-BE5D-BCD8333F7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418160"/>
        <c:axId val="867410480"/>
      </c:lineChart>
      <c:catAx>
        <c:axId val="86741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10480"/>
        <c:crosses val="autoZero"/>
        <c:auto val="1"/>
        <c:lblAlgn val="ctr"/>
        <c:lblOffset val="100"/>
        <c:noMultiLvlLbl val="0"/>
      </c:catAx>
      <c:valAx>
        <c:axId val="8674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1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10-Year Tax Impact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'税金 Tax Impact'!$A$32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'税金 Tax Impact'!$A$33:$A$42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3-4945-90DB-A57526AB3BBE}"/>
            </c:ext>
          </c:extLst>
        </c:ser>
        <c:ser>
          <c:idx val="1"/>
          <c:order val="1"/>
          <c:tx>
            <c:strRef>
              <c:f>'税金 Tax Impact'!$B$32</c:f>
              <c:strCache>
                <c:ptCount val="1"/>
                <c:pt idx="0">
                  <c:v>Tax w/o PPVA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'税金 Tax Impact'!$B$33:$B$42</c:f>
              <c:numCache>
                <c:formatCode>"$"#,##0</c:formatCode>
                <c:ptCount val="10"/>
                <c:pt idx="0">
                  <c:v>2147868.9979999997</c:v>
                </c:pt>
                <c:pt idx="1">
                  <c:v>2811198.4458800019</c:v>
                </c:pt>
                <c:pt idx="2">
                  <c:v>3514327.6606328026</c:v>
                </c:pt>
                <c:pt idx="3">
                  <c:v>4259644.6282707714</c:v>
                </c:pt>
                <c:pt idx="4">
                  <c:v>5049680.6139670191</c:v>
                </c:pt>
                <c:pt idx="5">
                  <c:v>5887118.7588050403</c:v>
                </c:pt>
                <c:pt idx="6">
                  <c:v>6774803.1923333453</c:v>
                </c:pt>
                <c:pt idx="7">
                  <c:v>7715748.6918733446</c:v>
                </c:pt>
                <c:pt idx="8">
                  <c:v>8713150.9213857464</c:v>
                </c:pt>
                <c:pt idx="9">
                  <c:v>9770397.2846688945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3-4945-90DB-A57526AB3BBE}"/>
            </c:ext>
          </c:extLst>
        </c:ser>
        <c:ser>
          <c:idx val="2"/>
          <c:order val="2"/>
          <c:tx>
            <c:strRef>
              <c:f>'税金 Tax Impact'!$C$32</c:f>
              <c:strCache>
                <c:ptCount val="1"/>
                <c:pt idx="0">
                  <c:v>Tax w/ PPVA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'税金 Tax Impact'!$C$33:$C$42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736024.3400806135</c:v>
                </c:pt>
                <c:pt idx="3">
                  <c:v>2420495.1031646868</c:v>
                </c:pt>
                <c:pt idx="4">
                  <c:v>4258221.444421242</c:v>
                </c:pt>
                <c:pt idx="5">
                  <c:v>11002501.641563602</c:v>
                </c:pt>
                <c:pt idx="6">
                  <c:v>12467837.927379195</c:v>
                </c:pt>
                <c:pt idx="7">
                  <c:v>14021629.824857812</c:v>
                </c:pt>
                <c:pt idx="8">
                  <c:v>15669217.369836751</c:v>
                </c:pt>
                <c:pt idx="9">
                  <c:v>17416262.99493552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3-4945-90DB-A57526AB3BBE}"/>
            </c:ext>
          </c:extLst>
        </c:ser>
        <c:ser>
          <c:idx val="3"/>
          <c:order val="3"/>
          <c:tx>
            <c:strRef>
              <c:f>'税金 Tax Impact'!$D$32</c:f>
              <c:strCache>
                <c:ptCount val="1"/>
                <c:pt idx="0">
                  <c:v>Tax w/ Design 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'税金 Tax Impact'!$D$33:$D$42</c:f>
              <c:numCache>
                <c:formatCode>General</c:formatCode>
                <c:ptCount val="10"/>
                <c:pt idx="0">
                  <c:v>0</c:v>
                </c:pt>
                <c:pt idx="1">
                  <c:v>2872110.6995554729</c:v>
                </c:pt>
                <c:pt idx="2">
                  <c:v>5366325.731988756</c:v>
                </c:pt>
                <c:pt idx="3">
                  <c:v>7262629.2590702102</c:v>
                </c:pt>
                <c:pt idx="4">
                  <c:v>8877595.7168530189</c:v>
                </c:pt>
                <c:pt idx="5">
                  <c:v>10607067.853463139</c:v>
                </c:pt>
                <c:pt idx="6">
                  <c:v>11980120.640411122</c:v>
                </c:pt>
                <c:pt idx="7">
                  <c:v>13432361.657389596</c:v>
                </c:pt>
                <c:pt idx="8">
                  <c:v>14968371.532643244</c:v>
                </c:pt>
                <c:pt idx="9">
                  <c:v>16592996.61558402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53-4945-90DB-A57526AB3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669728"/>
        <c:axId val="802677888"/>
      </c:barChart>
      <c:catAx>
        <c:axId val="80266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77888"/>
        <c:crosses val="autoZero"/>
        <c:auto val="1"/>
        <c:lblAlgn val="ctr"/>
        <c:lblOffset val="100"/>
        <c:noMultiLvlLbl val="0"/>
      </c:catAx>
      <c:valAx>
        <c:axId val="8026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6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Inspira Fund Allocation — $12.1M 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'マスター Master'!$B$61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B1-4D24-B6BF-914D02D6CD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B1-4D24-B6BF-914D02D6CD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B1-4D24-B6BF-914D02D6CD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B1-4D24-B6BF-914D02D6CD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B1-4D24-B6BF-914D02D6CD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B1-4D24-B6BF-914D02D6CD3C}"/>
              </c:ext>
            </c:extLst>
          </c:dPt>
          <c:cat>
            <c:strRef>
              <c:f>'マスター Master'!$A$62:$A$67</c:f>
              <c:strCache>
                <c:ptCount val="6"/>
                <c:pt idx="0">
                  <c:v>Intl Fixed Rate Plan Plus</c:v>
                </c:pt>
                <c:pt idx="1">
                  <c:v>Intl Fixed Rate Plan</c:v>
                </c:pt>
                <c:pt idx="2">
                  <c:v>US 5-Year FIA</c:v>
                </c:pt>
                <c:pt idx="3">
                  <c:v>AAIDX (Alt Income)</c:v>
                </c:pt>
                <c:pt idx="4">
                  <c:v>ACRE III (CRE Fund)</c:v>
                </c:pt>
                <c:pt idx="5">
                  <c:v>Cash (Liquidity)</c:v>
                </c:pt>
              </c:strCache>
            </c:strRef>
          </c:cat>
          <c:val>
            <c:numRef>
              <c:f>'マスター Master'!$B$62:$B$67</c:f>
              <c:numCache>
                <c:formatCode>"$"#,##0</c:formatCode>
                <c:ptCount val="6"/>
                <c:pt idx="0">
                  <c:v>4224150</c:v>
                </c:pt>
                <c:pt idx="1">
                  <c:v>3017250</c:v>
                </c:pt>
                <c:pt idx="2">
                  <c:v>1810350</c:v>
                </c:pt>
                <c:pt idx="3">
                  <c:v>1206900</c:v>
                </c:pt>
                <c:pt idx="4">
                  <c:v>1206900</c:v>
                </c:pt>
                <c:pt idx="5">
                  <c:v>603450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D-4955-926B-E1E050BF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Party — Upfront vs Recurring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'マスター Master'!$B$69</c:f>
              <c:strCache>
                <c:ptCount val="1"/>
                <c:pt idx="0">
                  <c:v>Upfront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'マスター Master'!$A$70:$A$74</c:f>
              <c:strCache>
                <c:ptCount val="5"/>
                <c:pt idx="0">
                  <c:v>Syndicated Capital Broker Dealer </c:v>
                </c:pt>
                <c:pt idx="1">
                  <c:v>PB Investment Services</c:v>
                </c:pt>
                <c:pt idx="2">
                  <c:v>PBWR</c:v>
                </c:pt>
                <c:pt idx="3">
                  <c:v>Ohana Firm</c:v>
                </c:pt>
                <c:pt idx="4">
                  <c:v>3cStructures</c:v>
                </c:pt>
              </c:strCache>
            </c:strRef>
          </c:cat>
          <c:val>
            <c:numRef>
              <c:f>'マスター Master'!$B$70:$B$74</c:f>
              <c:numCache>
                <c:formatCode>"$"#,##0</c:formatCode>
                <c:ptCount val="5"/>
                <c:pt idx="0">
                  <c:v>39000</c:v>
                </c:pt>
                <c:pt idx="1">
                  <c:v>39000</c:v>
                </c:pt>
                <c:pt idx="2">
                  <c:v>351000</c:v>
                </c:pt>
                <c:pt idx="3">
                  <c:v>351000</c:v>
                </c:pt>
                <c:pt idx="4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7-43E1-AD72-E54ACFCB4589}"/>
            </c:ext>
          </c:extLst>
        </c:ser>
        <c:ser>
          <c:idx val="1"/>
          <c:order val="1"/>
          <c:tx>
            <c:strRef>
              <c:f>'マスター Master'!$C$69</c:f>
              <c:strCache>
                <c:ptCount val="1"/>
                <c:pt idx="0">
                  <c:v>Annual Recurring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'マスター Master'!$A$70:$A$74</c:f>
              <c:strCache>
                <c:ptCount val="5"/>
                <c:pt idx="0">
                  <c:v>Syndicated Capital Broker Dealer </c:v>
                </c:pt>
                <c:pt idx="1">
                  <c:v>PB Investment Services</c:v>
                </c:pt>
                <c:pt idx="2">
                  <c:v>PBWR</c:v>
                </c:pt>
                <c:pt idx="3">
                  <c:v>Ohana Firm</c:v>
                </c:pt>
                <c:pt idx="4">
                  <c:v>3cStructures</c:v>
                </c:pt>
              </c:strCache>
            </c:strRef>
          </c:cat>
          <c:val>
            <c:numRef>
              <c:f>'マスター Master'!$C$70:$C$74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7-43E1-AD72-E54ACFCB4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586335"/>
        <c:axId val="269587775"/>
      </c:barChart>
      <c:catAx>
        <c:axId val="26958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7775"/>
        <c:crosses val="autoZero"/>
        <c:auto val="1"/>
        <c:lblAlgn val="ctr"/>
        <c:lblOffset val="100"/>
        <c:noMultiLvlLbl val="0"/>
      </c:catAx>
      <c:valAx>
        <c:axId val="26958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RIA Advisory Revenue — 10-Year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'マスター Master'!$B$78</c:f>
              <c:strCache>
                <c:ptCount val="1"/>
                <c:pt idx="0">
                  <c:v>RIA Annual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'マスター Master'!$A$79:$A$88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'マスター Master'!$B$79:$B$88</c:f>
              <c:numCache>
                <c:formatCode>"$"#,##0</c:formatCode>
                <c:ptCount val="10"/>
                <c:pt idx="0">
                  <c:v>18103.5</c:v>
                </c:pt>
                <c:pt idx="1">
                  <c:v>19235.4213375</c:v>
                </c:pt>
                <c:pt idx="2">
                  <c:v>20438.116056627186</c:v>
                </c:pt>
                <c:pt idx="3">
                  <c:v>21716.009263067801</c:v>
                </c:pt>
                <c:pt idx="4">
                  <c:v>23073.802742241114</c:v>
                </c:pt>
                <c:pt idx="5">
                  <c:v>24516.492258699738</c:v>
                </c:pt>
                <c:pt idx="6">
                  <c:v>26049.385937174939</c:v>
                </c:pt>
                <c:pt idx="7">
                  <c:v>27678.1237928968</c:v>
                </c:pt>
                <c:pt idx="8">
                  <c:v>29408.698483047672</c:v>
                </c:pt>
                <c:pt idx="9">
                  <c:v>31247.477355700226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D-4D8A-BCF3-92B49AF1452A}"/>
            </c:ext>
          </c:extLst>
        </c:ser>
        <c:ser>
          <c:idx val="1"/>
          <c:order val="1"/>
          <c:tx>
            <c:strRef>
              <c:f>'マスター Master'!$C$78</c:f>
              <c:strCache>
                <c:ptCount val="1"/>
                <c:pt idx="0">
                  <c:v>RIA Cumulative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'マスター Master'!$A$79:$A$88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'マスター Master'!$C$79:$C$88</c:f>
              <c:numCache>
                <c:formatCode>"$"#,##0</c:formatCode>
                <c:ptCount val="10"/>
                <c:pt idx="0">
                  <c:v>18103.5</c:v>
                </c:pt>
                <c:pt idx="1">
                  <c:v>37338.921337499996</c:v>
                </c:pt>
                <c:pt idx="2">
                  <c:v>57777.037394127183</c:v>
                </c:pt>
                <c:pt idx="3">
                  <c:v>79493.04665719498</c:v>
                </c:pt>
                <c:pt idx="4">
                  <c:v>102566.84939943609</c:v>
                </c:pt>
                <c:pt idx="5">
                  <c:v>127083.34165813583</c:v>
                </c:pt>
                <c:pt idx="6">
                  <c:v>153132.72759531077</c:v>
                </c:pt>
                <c:pt idx="7">
                  <c:v>180810.85138820758</c:v>
                </c:pt>
                <c:pt idx="8">
                  <c:v>210219.54987125524</c:v>
                </c:pt>
                <c:pt idx="9">
                  <c:v>241467.02722695546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D-4D8A-BCF3-92B49AF14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095679"/>
        <c:axId val="275098079"/>
      </c:areaChart>
      <c:catAx>
        <c:axId val="275095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98079"/>
        <c:crosses val="autoZero"/>
        <c:auto val="1"/>
        <c:lblAlgn val="ctr"/>
        <c:lblOffset val="100"/>
        <c:noMultiLvlLbl val="0"/>
      </c:catAx>
      <c:valAx>
        <c:axId val="2750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095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Allowance by Commission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'マスター Master'!$D$94</c:f>
              <c:strCache>
                <c:ptCount val="1"/>
                <c:pt idx="0">
                  <c:v>Regional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'マスター Master'!$A$95:$C$97</c:f>
              <c:multiLvlStrCache>
                <c:ptCount val="3"/>
                <c:lvl>
                  <c:pt idx="0">
                    <c:v>$200,647</c:v>
                  </c:pt>
                  <c:pt idx="1">
                    <c:v>$123,255</c:v>
                  </c:pt>
                  <c:pt idx="2">
                    <c:v>N/A</c:v>
                  </c:pt>
                </c:lvl>
                <c:lvl>
                  <c:pt idx="0">
                    <c:v>$211,208</c:v>
                  </c:pt>
                  <c:pt idx="1">
                    <c:v>$129,742</c:v>
                  </c:pt>
                  <c:pt idx="2">
                    <c:v>$140,302</c:v>
                  </c:pt>
                </c:lvl>
                <c:lvl>
                  <c:pt idx="0">
                    <c:v>Intl Fixed Rate Plan Plus</c:v>
                  </c:pt>
                  <c:pt idx="1">
                    <c:v>Intl Fixed Rate Plan</c:v>
                  </c:pt>
                  <c:pt idx="2">
                    <c:v>US 5-Year FIA</c:v>
                  </c:pt>
                </c:lvl>
              </c:multiLvlStrCache>
            </c:multiLvlStrRef>
          </c:cat>
          <c:val>
            <c:numRef>
              <c:f>'マスター Master'!$D$95:$D$97</c:f>
              <c:numCache>
                <c:formatCode>"$"#,##0</c:formatCode>
                <c:ptCount val="3"/>
                <c:pt idx="0">
                  <c:v>190086.75</c:v>
                </c:pt>
                <c:pt idx="1">
                  <c:v>116767.575</c:v>
                </c:pt>
                <c:pt idx="2">
                  <c:v>81465.75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B-47D6-AF9D-B4C0A7083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829887"/>
        <c:axId val="275830847"/>
      </c:barChart>
      <c:catAx>
        <c:axId val="27582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30847"/>
        <c:crosses val="autoZero"/>
        <c:auto val="1"/>
        <c:lblAlgn val="ctr"/>
        <c:lblOffset val="100"/>
        <c:noMultiLvlLbl val="0"/>
      </c:catAx>
      <c:valAx>
        <c:axId val="2758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2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Ohana vs RIA — Upfront vs 10-Year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'マスター Master'!$A$91</c:f>
              <c:strCache>
                <c:ptCount val="1"/>
                <c:pt idx="0">
                  <c:v>Ohana Firm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'マスター Master'!$B$90:$C$90</c:f>
              <c:strCache>
                <c:ptCount val="2"/>
                <c:pt idx="0">
                  <c:v>Upfront ($)</c:v>
                </c:pt>
                <c:pt idx="1">
                  <c:v>10-Year Total ($)</c:v>
                </c:pt>
              </c:strCache>
            </c:strRef>
          </c:cat>
          <c:val>
            <c:numRef>
              <c:f>'マスター Master'!$B$91:$C$91</c:f>
              <c:numCache>
                <c:formatCode>"$"#,##0</c:formatCode>
                <c:ptCount val="2"/>
                <c:pt idx="0">
                  <c:v>351000</c:v>
                </c:pt>
                <c:pt idx="1">
                  <c:v>351000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1-4203-B131-D2AA70B3EBEB}"/>
            </c:ext>
          </c:extLst>
        </c:ser>
        <c:ser>
          <c:idx val="1"/>
          <c:order val="1"/>
          <c:tx>
            <c:strRef>
              <c:f>'マスター Master'!$A$92</c:f>
              <c:strCache>
                <c:ptCount val="1"/>
                <c:pt idx="0">
                  <c:v>RIA / Advisor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'マスター Master'!$B$90:$C$90</c:f>
              <c:strCache>
                <c:ptCount val="2"/>
                <c:pt idx="0">
                  <c:v>Upfront ($)</c:v>
                </c:pt>
                <c:pt idx="1">
                  <c:v>10-Year Total ($)</c:v>
                </c:pt>
              </c:strCache>
            </c:strRef>
          </c:cat>
          <c:val>
            <c:numRef>
              <c:f>'マスター Master'!$B$92:$C$92</c:f>
              <c:numCache>
                <c:formatCode>"$"#,##0</c:formatCode>
                <c:ptCount val="2"/>
                <c:pt idx="0">
                  <c:v>0</c:v>
                </c:pt>
                <c:pt idx="1">
                  <c:v>241467.02722695546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1-4203-B131-D2AA70B3E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088143"/>
        <c:axId val="306093903"/>
      </c:barChart>
      <c:catAx>
        <c:axId val="30608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93903"/>
        <c:crosses val="autoZero"/>
        <c:auto val="1"/>
        <c:lblAlgn val="ctr"/>
        <c:lblOffset val="100"/>
        <c:noMultiLvlLbl val="0"/>
      </c:catAx>
      <c:valAx>
        <c:axId val="30609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8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 Load — Who Gets What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Ohanaピッチ!$F$1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Ohanaピッチ!$E$2:$E$5</c:f>
              <c:strCache>
                <c:ptCount val="4"/>
                <c:pt idx="0">
                  <c:v>Syndicated Capital</c:v>
                </c:pt>
                <c:pt idx="1">
                  <c:v>3cStructures</c:v>
                </c:pt>
                <c:pt idx="2">
                  <c:v>PB Investment Services</c:v>
                </c:pt>
                <c:pt idx="3">
                  <c:v>Ohana Firm</c:v>
                </c:pt>
              </c:strCache>
            </c:strRef>
          </c:cat>
          <c:val>
            <c:numRef>
              <c:f>Ohanaピッチ!$F$2:$F$5</c:f>
              <c:numCache>
                <c:formatCode>General</c:formatCode>
                <c:ptCount val="4"/>
                <c:pt idx="0">
                  <c:v>39000</c:v>
                </c:pt>
                <c:pt idx="1">
                  <c:v>130000</c:v>
                </c:pt>
                <c:pt idx="2">
                  <c:v>39000</c:v>
                </c:pt>
                <c:pt idx="3" formatCode="&quot;$&quot;#,##0">
                  <c:v>351000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3-449C-A415-17BB4D4F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217632"/>
        <c:axId val="484207072"/>
      </c:barChart>
      <c:catAx>
        <c:axId val="48421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07072"/>
        <c:crosses val="autoZero"/>
        <c:auto val="1"/>
        <c:lblAlgn val="ctr"/>
        <c:lblOffset val="100"/>
        <c:noMultiLvlLbl val="0"/>
      </c:catAx>
      <c:valAx>
        <c:axId val="48420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Portfolio — 75% Guaranteed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Ohanaピッチ!$F$6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8-408C-B622-6D75E560C5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8-408C-B622-6D75E560C526}"/>
              </c:ext>
            </c:extLst>
          </c:dPt>
          <c:cat>
            <c:strRef>
              <c:f>Ohanaピッチ!$E$7:$E$8</c:f>
              <c:strCache>
                <c:ptCount val="2"/>
                <c:pt idx="0">
                  <c:v>Guaranteed (75%)</c:v>
                </c:pt>
                <c:pt idx="1">
                  <c:v>Non-Guaranteed (25%)</c:v>
                </c:pt>
              </c:strCache>
            </c:strRef>
          </c:cat>
          <c:val>
            <c:numRef>
              <c:f>Ohanaピッチ!$F$7:$F$8</c:f>
              <c:numCache>
                <c:formatCode>General</c:formatCode>
                <c:ptCount val="2"/>
                <c:pt idx="0" formatCode="&quot;$&quot;#,##0">
                  <c:v>9051750</c:v>
                </c:pt>
                <c:pt idx="1">
                  <c:v>3017250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45B7-8C19-D7B80D1C4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TPBC Income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PBWRピッチ!$G$1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C6-4704-ACD9-26CAAABE59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C6-4704-ACD9-26CAAABE5926}"/>
              </c:ext>
            </c:extLst>
          </c:dPt>
          <c:cat>
            <c:strRef>
              <c:f>PBWRピッチ!$F$2:$F$3</c:f>
              <c:strCache>
                <c:ptCount val="2"/>
                <c:pt idx="0">
                  <c:v>Premium Load Share</c:v>
                </c:pt>
                <c:pt idx="1">
                  <c:v>Marketing Allowance</c:v>
                </c:pt>
              </c:strCache>
            </c:strRef>
          </c:cat>
          <c:val>
            <c:numRef>
              <c:f>PBWRピッチ!$G$2:$G$3</c:f>
              <c:numCache>
                <c:formatCode>"$"#,##0</c:formatCode>
                <c:ptCount val="2"/>
                <c:pt idx="0">
                  <c:v>351000</c:v>
                </c:pt>
                <c:pt idx="1">
                  <c:v>481251.375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D-4C77-88CC-225DC4064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Allowance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PBWRピッチ!$G$5</c:f>
              <c:strCache>
                <c:ptCount val="1"/>
                <c:pt idx="0">
                  <c:v>OGA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PBWRピッチ!$F$6:$F$8</c:f>
              <c:strCache>
                <c:ptCount val="3"/>
                <c:pt idx="0">
                  <c:v>Intl Fixed Rate Plan Plus</c:v>
                </c:pt>
                <c:pt idx="1">
                  <c:v>Intl Fixed Rate Plan</c:v>
                </c:pt>
                <c:pt idx="2">
                  <c:v>US 5-Year FIA</c:v>
                </c:pt>
              </c:strCache>
            </c:strRef>
          </c:cat>
          <c:val>
            <c:numRef>
              <c:f>PBWRピッチ!$G$6:$G$8</c:f>
              <c:numCache>
                <c:formatCode>"$"#,##0</c:formatCode>
                <c:ptCount val="3"/>
                <c:pt idx="0">
                  <c:v>211207.5</c:v>
                </c:pt>
                <c:pt idx="1">
                  <c:v>129741.74999999999</c:v>
                </c:pt>
                <c:pt idx="2">
                  <c:v>140302.125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D-484A-8EFD-C097E341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37296"/>
        <c:axId val="23538256"/>
      </c:barChart>
      <c:catAx>
        <c:axId val="2353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8256"/>
        <c:crosses val="autoZero"/>
        <c:auto val="1"/>
        <c:lblAlgn val="ctr"/>
        <c:lblOffset val="100"/>
        <c:noMultiLvlLbl val="0"/>
      </c:catAx>
      <c:valAx>
        <c:axId val="235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Advisory Fee — 10-Year Income Projection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アドバイザーピッチ!$G$21</c:f>
              <c:strCache>
                <c:ptCount val="1"/>
                <c:pt idx="0">
                  <c:v>Annual Fee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アドバイザーピッチ!$F$22:$F$31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アドバイザーピッチ!$G$22:$G$31</c:f>
              <c:numCache>
                <c:formatCode>"$"#,##0</c:formatCode>
                <c:ptCount val="10"/>
                <c:pt idx="0">
                  <c:v>18103.5</c:v>
                </c:pt>
                <c:pt idx="1">
                  <c:v>19235.4213375</c:v>
                </c:pt>
                <c:pt idx="2">
                  <c:v>20438.116056627186</c:v>
                </c:pt>
                <c:pt idx="3">
                  <c:v>21716.009263067801</c:v>
                </c:pt>
                <c:pt idx="4">
                  <c:v>23073.802742241114</c:v>
                </c:pt>
                <c:pt idx="5">
                  <c:v>24516.492258699738</c:v>
                </c:pt>
                <c:pt idx="6">
                  <c:v>26049.385937174942</c:v>
                </c:pt>
                <c:pt idx="7">
                  <c:v>27678.123792896804</c:v>
                </c:pt>
                <c:pt idx="8">
                  <c:v>29408.698483047676</c:v>
                </c:pt>
                <c:pt idx="9">
                  <c:v>31247.47735570023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2-4302-93E5-B474FBBB8A42}"/>
            </c:ext>
          </c:extLst>
        </c:ser>
        <c:ser>
          <c:idx val="1"/>
          <c:order val="1"/>
          <c:tx>
            <c:strRef>
              <c:f>アドバイザーピッチ!$H$21</c:f>
              <c:strCache>
                <c:ptCount val="1"/>
                <c:pt idx="0">
                  <c:v>Cumulative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アドバイザーピッチ!$F$22:$F$31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アドバイザーピッチ!$H$22:$H$31</c:f>
              <c:numCache>
                <c:formatCode>"$"#,##0</c:formatCode>
                <c:ptCount val="10"/>
                <c:pt idx="0">
                  <c:v>18103.5</c:v>
                </c:pt>
                <c:pt idx="1">
                  <c:v>37338.921337499996</c:v>
                </c:pt>
                <c:pt idx="2">
                  <c:v>57777.037394127183</c:v>
                </c:pt>
                <c:pt idx="3">
                  <c:v>79493.04665719498</c:v>
                </c:pt>
                <c:pt idx="4">
                  <c:v>102566.84939943609</c:v>
                </c:pt>
                <c:pt idx="5">
                  <c:v>127083.34165813583</c:v>
                </c:pt>
                <c:pt idx="6">
                  <c:v>153132.72759531077</c:v>
                </c:pt>
                <c:pt idx="7">
                  <c:v>180810.85138820758</c:v>
                </c:pt>
                <c:pt idx="8">
                  <c:v>210219.54987125527</c:v>
                </c:pt>
                <c:pt idx="9">
                  <c:v>241467.02722695548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2-4302-93E5-B474FBBB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05152"/>
        <c:axId val="484208512"/>
      </c:areaChart>
      <c:catAx>
        <c:axId val="48420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08512"/>
        <c:crosses val="autoZero"/>
        <c:auto val="1"/>
        <c:lblAlgn val="ctr"/>
        <c:lblOffset val="100"/>
        <c:noMultiLvlLbl val="0"/>
      </c:catAx>
      <c:valAx>
        <c:axId val="48420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0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126</xdr:row>
      <xdr:rowOff>0</xdr:rowOff>
    </xdr:from>
    <xdr:to>
      <xdr:col>20</xdr:col>
      <xdr:colOff>304800</xdr:colOff>
      <xdr:row>140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BB7B22-44A8-CC8C-CEBB-3C8715B4B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0</xdr:rowOff>
    </xdr:from>
    <xdr:to>
      <xdr:col>7</xdr:col>
      <xdr:colOff>895350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117DCF-2C9C-DB96-6E09-CA6D96DC0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304800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2D210-D3B2-3693-4C63-3D279A4B2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304800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6F43C-6472-CD01-A0A2-D70735CB7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304800</xdr:colOff>
      <xdr:row>61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0CFDF2-84D4-4B3A-8FD5-4C7B6FD25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304800</xdr:colOff>
      <xdr:row>78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F55552-0181-9741-0503-588FD4F65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14</xdr:col>
      <xdr:colOff>304800</xdr:colOff>
      <xdr:row>93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2CF660-EDF6-7CD1-341A-5DE4129A8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9525</xdr:rowOff>
    </xdr:from>
    <xdr:to>
      <xdr:col>11</xdr:col>
      <xdr:colOff>304800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D7DDA-6CA8-0558-4FC8-1B385EA9B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D3988-AFB5-854B-5D10-241F63D37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9525</xdr:rowOff>
    </xdr:from>
    <xdr:to>
      <xdr:col>12</xdr:col>
      <xdr:colOff>314325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0D1A4-2BA3-8487-3E78-CFA359093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12</xdr:col>
      <xdr:colOff>304800</xdr:colOff>
      <xdr:row>28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91E21-FC18-C788-2804-EFF1B8CBE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6A09A-EE1C-5832-128D-E7055EE37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1AE5E2-5651-4B84-B6A6-D0B5E24613F5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opLeftCell="A7" zoomScaleNormal="100" workbookViewId="0">
      <selection activeCell="A28" sqref="A28:E28"/>
    </sheetView>
  </sheetViews>
  <sheetFormatPr defaultColWidth="8.7109375" defaultRowHeight="15" x14ac:dyDescent="0.25"/>
  <cols>
    <col min="1" max="1" width="64.7109375" customWidth="1"/>
    <col min="2" max="2" width="23.5703125" bestFit="1" customWidth="1"/>
    <col min="3" max="3" width="22.7109375" customWidth="1"/>
    <col min="4" max="4" width="20.5703125" customWidth="1"/>
    <col min="5" max="5" width="40" customWidth="1"/>
    <col min="6" max="6" width="14.28515625" customWidth="1"/>
  </cols>
  <sheetData>
    <row r="1" spans="1:6" ht="17.45" customHeight="1" x14ac:dyDescent="0.25">
      <c r="A1" s="241" t="str">
        <f>IF('入力 Inputs'!$F$1="English","PPVA MASTER TOOL — ALL INPUTS",IF('入力 Inputs'!$F$1="日本語","PPVAマスターツール — 全入力項目","PPVAマスターツール — 全入力項目 / PPVA MASTER TOOL — ALL INPUTS"))</f>
        <v>PPVA MASTER TOOL — ALL INPUTS</v>
      </c>
      <c r="B1" s="241"/>
      <c r="C1" s="241"/>
      <c r="D1" s="242"/>
      <c r="E1" s="243"/>
      <c r="F1" s="190" t="s">
        <v>108</v>
      </c>
    </row>
    <row r="2" spans="1:6" x14ac:dyDescent="0.25">
      <c r="A2" s="244" t="str">
        <f>IF('入力 Inputs'!$F$1="English","Blue = adjustable inputs | Black = auto-calculated | Change inputs here to update",IF('入力 Inputs'!$F$1="日本語","青 = 変更可能な入力 | 黒 = 自動計算 | ここで入力を変更して計算シートを更新","青 = 変更可能な入力 | 黒 = 自動計算 | ここで入力を変更して計算シートを更新 / Blue = adjustable inputs | Black = auto-calculated | Change inputs here to update"))</f>
        <v>Blue = adjustable inputs | Black = auto-calculated | Change inputs here to update</v>
      </c>
      <c r="B2" s="244"/>
      <c r="C2" s="244"/>
      <c r="D2" s="244"/>
      <c r="E2" s="244"/>
    </row>
    <row r="4" spans="1:6" ht="15" customHeight="1" x14ac:dyDescent="0.25">
      <c r="A4" s="238" t="str">
        <f>IF('入力 Inputs'!$F$1="English","POLICY DETAILS",IF('入力 Inputs'!$F$1="日本語","証券詳細","証券詳細 / POLICY DETAILS"))</f>
        <v>POLICY DETAILS</v>
      </c>
      <c r="B4" s="238"/>
      <c r="C4" s="238"/>
      <c r="D4" s="238"/>
      <c r="E4" s="238"/>
    </row>
    <row r="5" spans="1:6" x14ac:dyDescent="0.25">
      <c r="A5" s="5" t="str">
        <f>IF('入力 Inputs'!$F$1="English","Policy Owner",IF('入力 Inputs'!$F$1="日本語","契約者","契約者 / Policy Owner"))</f>
        <v>Policy Owner</v>
      </c>
      <c r="B5" s="6" t="s">
        <v>58</v>
      </c>
    </row>
    <row r="6" spans="1:6" x14ac:dyDescent="0.25">
      <c r="A6" s="5" t="str">
        <f>IF('入力 Inputs'!$F$1="English","Policy Issue Date",IF('入力 Inputs'!$F$1="日本語","証券発行日","証券発行日 / Policy Issue Date"))</f>
        <v>Policy Issue Date</v>
      </c>
      <c r="B6" s="191">
        <v>46087</v>
      </c>
    </row>
    <row r="7" spans="1:6" x14ac:dyDescent="0.25">
      <c r="A7" s="5" t="str">
        <f>IF('入力 Inputs'!$F$1="English","Total Deposit",IF('入力 Inputs'!$F$1="日本語","預入総額","預入総額 / Total Deposit"))</f>
        <v>Total Deposit</v>
      </c>
      <c r="B7" s="7">
        <v>13000000</v>
      </c>
    </row>
    <row r="8" spans="1:6" x14ac:dyDescent="0.25">
      <c r="A8" s="5" t="str">
        <f>IF('入力 Inputs'!$F$1="English","Policy Type",IF('入力 Inputs'!$F$1="日本語","保険種類","保険種類 / Policy Type"))</f>
        <v>Policy Type</v>
      </c>
      <c r="B8" s="6" t="s">
        <v>59</v>
      </c>
    </row>
    <row r="10" spans="1:6" ht="15" customHeight="1" x14ac:dyDescent="0.25">
      <c r="A10" s="238" t="str">
        <f>IF('入力 Inputs'!$F$1="English","PREMIUM LOAD (Step 1)",IF('入力 Inputs'!$F$1="日本語","プレミアムロード（ステップ1）","プレミアムロード（ステップ1） / PREMIUM LOAD (Step 1)"))</f>
        <v>PREMIUM LOAD (Step 1)</v>
      </c>
      <c r="B10" s="238"/>
      <c r="C10" s="238"/>
      <c r="D10" s="238"/>
      <c r="E10" s="238"/>
    </row>
    <row r="11" spans="1:6" x14ac:dyDescent="0.25">
      <c r="A11" s="5" t="str">
        <f>IF('入力 Inputs'!$F$1="English","Premium Load %",IF('入力 Inputs'!$F$1="日本語","プレミアムロード率","プレミアムロード率 / Premium Load %"))</f>
        <v>Premium Load %</v>
      </c>
      <c r="B11" s="257">
        <v>0.06</v>
      </c>
      <c r="E11" t="s">
        <v>124</v>
      </c>
    </row>
    <row r="12" spans="1:6" x14ac:dyDescent="0.25">
      <c r="A12" s="5" t="str">
        <f>IF('入力 Inputs'!$F$1="English","3cStructures load %",IF('入力 Inputs'!$F$1="日本語","3cStructuresロード率","3cStructuresロード率 / 3cStructures load %"))</f>
        <v>3cStructures load %</v>
      </c>
      <c r="B12" s="257">
        <v>0.01</v>
      </c>
    </row>
    <row r="13" spans="1:6" x14ac:dyDescent="0.25">
      <c r="A13" s="5" t="str">
        <f>IF('入力 Inputs'!$F$1="English","Syndicated Capital holdback %",IF('入力 Inputs'!$F$1="日本語","Syndicated Capital保持率","Syndicated Capital保持率 / Syndicated Capital holdback %"))</f>
        <v>Syndicated Capital holdback %</v>
      </c>
      <c r="B13" s="257">
        <v>0.05</v>
      </c>
      <c r="E13" s="1" t="s">
        <v>125</v>
      </c>
    </row>
    <row r="14" spans="1:6" x14ac:dyDescent="0.25">
      <c r="A14" s="5" t="str">
        <f>IF('入力 Inputs'!$F$1="English","PB Investment Services holdback %",IF('入力 Inputs'!$F$1="日本語","PB Investment Services保持率","PB Investment Services保持率 / PB Investment Services holdback %"))</f>
        <v>PB Investment Services holdback %</v>
      </c>
      <c r="B14" s="257">
        <v>0.05</v>
      </c>
      <c r="E14" s="1" t="s">
        <v>125</v>
      </c>
    </row>
    <row r="15" spans="1:6" x14ac:dyDescent="0.25">
      <c r="A15" s="5" t="str">
        <f>IF('入力 Inputs'!$F$1="English","PBWR split % (of net to PB)",IF('入力 Inputs'!$F$1="日本語","PBWR分配率（PBネットの%）","PBWR分配率（PBネットの%） / PBWR split % (of net to PB)"))</f>
        <v>PBWR split % (of net to PB)</v>
      </c>
      <c r="B15" s="257">
        <v>0.5</v>
      </c>
      <c r="E15" s="155" t="s">
        <v>126</v>
      </c>
    </row>
    <row r="16" spans="1:6" x14ac:dyDescent="0.25">
      <c r="A16" s="5" t="str">
        <f>IF('入力 Inputs'!$F$1="English","Ohana share of net load %",IF('入力 Inputs'!$F$1="日本語","Ohanaのネットロード分配率","Ohanaのネットロード分配率 / Ohana share of net load %"))</f>
        <v>Ohana share of net load %</v>
      </c>
      <c r="B16" s="258">
        <f>1-B15</f>
        <v>0.5</v>
      </c>
      <c r="E16" s="4" t="s">
        <v>127</v>
      </c>
    </row>
    <row r="18" spans="1:5" ht="15" customHeight="1" x14ac:dyDescent="0.25">
      <c r="A18" s="238" t="str">
        <f>IF('入力 Inputs'!$F$1="English","ADMIN &amp; BANK FEES (Step 2)",IF('入力 Inputs'!$F$1="日本語","管理・銀行手数料（ステップ2）","管理・銀行手数料（ステップ2） / ADMIN &amp; BANK FEES (Step 2)"))</f>
        <v>ADMIN &amp; BANK FEES (Step 2)</v>
      </c>
      <c r="B18" s="238"/>
      <c r="C18" s="238"/>
      <c r="D18" s="238"/>
      <c r="E18" s="238"/>
    </row>
    <row r="19" spans="1:5" x14ac:dyDescent="0.25">
      <c r="A19" s="5" t="str">
        <f>IF('入力 Inputs'!$F$1="English","Advantage annuity admin fee",IF('入力 Inputs'!$F$1="日本語","Advantage年金管理費","Advantage年金管理費 / Advantage annuity admin fee"))</f>
        <v>Advantage annuity admin fee</v>
      </c>
      <c r="B19" s="7">
        <v>19500</v>
      </c>
      <c r="C19" s="213" t="s">
        <v>121</v>
      </c>
      <c r="D19" s="213" t="s">
        <v>122</v>
      </c>
      <c r="E19" s="2" t="s">
        <v>61</v>
      </c>
    </row>
    <row r="20" spans="1:5" ht="24" x14ac:dyDescent="0.25">
      <c r="A20" s="5" t="str">
        <f>IF('入力 Inputs'!$F$1="English","Misc. bank / setup fees",IF('入力 Inputs'!$F$1="日本語","その他銀行・設定費","その他銀行・設定費 / Misc. bank / setup fees"))</f>
        <v>Misc. bank / setup fees</v>
      </c>
      <c r="B20" s="7">
        <v>1500</v>
      </c>
      <c r="C20" s="251">
        <f>(B7-(B7*B11)-(B7*B12)-B19-B20)*100%</f>
        <v>12069000</v>
      </c>
      <c r="D20" s="252">
        <v>12069000</v>
      </c>
      <c r="E20" s="2" t="s">
        <v>62</v>
      </c>
    </row>
    <row r="21" spans="1:5" x14ac:dyDescent="0.25">
      <c r="A21" t="s">
        <v>123</v>
      </c>
      <c r="C21" s="253">
        <f>C20-D20</f>
        <v>0</v>
      </c>
    </row>
    <row r="22" spans="1:5" ht="15" customHeight="1" x14ac:dyDescent="0.25">
      <c r="A22" s="238"/>
      <c r="B22" s="238"/>
      <c r="C22" s="238"/>
      <c r="D22" s="238"/>
      <c r="E22" s="238"/>
    </row>
    <row r="23" spans="1:5" x14ac:dyDescent="0.25">
      <c r="A23" s="10" t="str">
        <f>IF('入力 Inputs'!$F$1="English","Product",IF('入力 Inputs'!$F$1="日本語","商品","商品 / Product"))</f>
        <v>Product</v>
      </c>
      <c r="B23" s="10" t="str">
        <f>IF('入力 Inputs'!$F$1="English","Alloc %",IF('入力 Inputs'!$F$1="日本語","配分率","配分率 / Alloc %"))</f>
        <v>Alloc %</v>
      </c>
      <c r="C23" s="10" t="str">
        <f>IF('入力 Inputs'!$F$1="English","Amount ($)",IF('入力 Inputs'!$F$1="日本語","金額","金額 / Amount ($)"))</f>
        <v>Amount ($)</v>
      </c>
      <c r="D23" s="10" t="str">
        <f>IF('入力 Inputs'!$F$1="English","Est. Rate",IF('入力 Inputs'!$F$1="日本語","推定利率","推定利率 / Est. Rate"))</f>
        <v>Est. Rate</v>
      </c>
      <c r="E23" s="10" t="str">
        <f>IF('入力 Inputs'!$F$1="English","Weighted Return",IF('入力 Inputs'!$F$1="日本語","加重リターン","加重リターン / Weighted Return"))</f>
        <v>Weighted Return</v>
      </c>
    </row>
    <row r="24" spans="1:5" ht="15" customHeight="1" x14ac:dyDescent="0.25">
      <c r="A24" s="239" t="str">
        <f>IF('入力 Inputs'!$F$1="English","  GUARANTEED PRODUCTS ("&amp;TEXT(SUM(B25:B27),"0%")&amp;")",IF('入力 Inputs'!$F$1="日本語","  保証商品 ("&amp;TEXT(SUM(B25:B27),"0%")&amp;")","  保証商品 / GUARANTEED PRODUCTS ("&amp;TEXT(SUM(B25:B27),"0%")&amp;")"))</f>
        <v xml:space="preserve">  GUARANTEED PRODUCTS (75%)</v>
      </c>
      <c r="B24" s="240"/>
      <c r="C24" s="240"/>
      <c r="D24" s="240"/>
      <c r="E24" s="240"/>
    </row>
    <row r="25" spans="1:5" x14ac:dyDescent="0.25">
      <c r="A25" s="5" t="str">
        <f>IF('入力 Inputs'!$F$1="English","Intl Fixed Rate Plan Plus",IF('入力 Inputs'!$F$1="日本語","国際固定金利プランプラス","国際固定金利プランプラス / Intl Fixed Rate Plan Plus"))</f>
        <v>Intl Fixed Rate Plan Plus</v>
      </c>
      <c r="B25" s="11">
        <v>0.35</v>
      </c>
      <c r="C25" s="7">
        <f>(B7-(B7*B11)-(B7*B12)-B19-B20)*B25</f>
        <v>4224150</v>
      </c>
      <c r="D25" s="11">
        <v>5.8000000000000003E-2</v>
      </c>
      <c r="E25" s="12">
        <f>B25*D25</f>
        <v>2.0299999999999999E-2</v>
      </c>
    </row>
    <row r="26" spans="1:5" x14ac:dyDescent="0.25">
      <c r="A26" s="5" t="str">
        <f>IF('入力 Inputs'!$F$1="English","Intl Fixed Rate Plan",IF('入力 Inputs'!$F$1="日本語","国際固定金利プラン","国際固定金利プラン / Intl Fixed Rate Plan"))</f>
        <v>Intl Fixed Rate Plan</v>
      </c>
      <c r="B26" s="11">
        <v>0.25</v>
      </c>
      <c r="C26" s="7">
        <f>(B7-(B7*B11)-(B7*B12)-B19-B20)*B26</f>
        <v>3017250</v>
      </c>
      <c r="D26" s="11">
        <v>5.6000000000000001E-2</v>
      </c>
      <c r="E26" s="12">
        <f>B26*D26</f>
        <v>1.4E-2</v>
      </c>
    </row>
    <row r="27" spans="1:5" x14ac:dyDescent="0.25">
      <c r="A27" s="5" t="str">
        <f>IF('入力 Inputs'!$F$1="English","US 5-Year FIA (AmFirst / Trailhead)",IF('入力 Inputs'!$F$1="日本語","米国5年FIA","米国5年FIA / US 5-Year FIA (AmFirst / Trailhead)"))</f>
        <v>US 5-Year FIA (AmFirst / Trailhead)</v>
      </c>
      <c r="B27" s="11">
        <v>0.15</v>
      </c>
      <c r="C27" s="7">
        <f>(B7-(B7*B11)-(B7*B12)-B19-B20)*B27</f>
        <v>1810350</v>
      </c>
      <c r="D27" s="11">
        <v>5.1499999999999997E-2</v>
      </c>
      <c r="E27" s="12">
        <f>B27*D27</f>
        <v>7.7249999999999992E-3</v>
      </c>
    </row>
    <row r="28" spans="1:5" ht="15" customHeight="1" x14ac:dyDescent="0.25">
      <c r="A28" s="239" t="str">
        <f>IF('入力 Inputs'!$F$1="English","  NON-GUARANTEED ("&amp;TEXT(SUM(B29:B31),"0%")&amp;")",IF('入力 Inputs'!$F$1="日本語","  非保証 ("&amp;TEXT(SUM(B29:B31),"0%")&amp;")","  非保証 / NON-GUARANTEED ("&amp;TEXT(SUM(B29:B31),"0%")&amp;")"))</f>
        <v xml:space="preserve">  NON-GUARANTEED (25%)</v>
      </c>
      <c r="B28" s="240"/>
      <c r="C28" s="240"/>
      <c r="D28" s="240"/>
      <c r="E28" s="240"/>
    </row>
    <row r="29" spans="1:5" x14ac:dyDescent="0.25">
      <c r="A29" s="5" t="str">
        <f>IF('入力 Inputs'!$F$1="English","AAIDX (Alt Income)",IF('入力 Inputs'!$F$1="日本語","AAIDX（代替収益）","AAIDX（代替収益） / AAIDX (Alt Income)"))</f>
        <v>AAIDX (Alt Income)</v>
      </c>
      <c r="B29" s="11">
        <v>0.1</v>
      </c>
      <c r="C29" s="13">
        <f>(B7-(B7*B11)-(B7*B12)-B19-B20)*B29</f>
        <v>1206900</v>
      </c>
      <c r="D29" s="11">
        <v>7.0000000000000007E-2</v>
      </c>
      <c r="E29" s="12">
        <f>B29*D29</f>
        <v>7.000000000000001E-3</v>
      </c>
    </row>
    <row r="30" spans="1:5" x14ac:dyDescent="0.25">
      <c r="A30" s="5" t="str">
        <f>IF('入力 Inputs'!$F$1="English","ACRE III (CRE Fund)",IF('入力 Inputs'!$F$1="日本語","ACRE III（CREファンド）","ACRE III（CREファンド） / ACRE III (CRE Fund)"))</f>
        <v>ACRE III (CRE Fund)</v>
      </c>
      <c r="B30" s="11">
        <v>0.1</v>
      </c>
      <c r="C30" s="13">
        <f>(B7-(B7*B11)-(B7*B12)-B19-B20)*B30</f>
        <v>1206900</v>
      </c>
      <c r="D30" s="11">
        <v>0.12</v>
      </c>
      <c r="E30" s="12">
        <f>B30*D30</f>
        <v>1.2E-2</v>
      </c>
    </row>
    <row r="31" spans="1:5" x14ac:dyDescent="0.25">
      <c r="A31" s="5" t="str">
        <f>IF('入力 Inputs'!$F$1="English","Cash (Liquidity)",IF('入力 Inputs'!$F$1="日本語","現金（流動性）","現金（流動性） / Cash (Liquidity)"))</f>
        <v>Cash (Liquidity)</v>
      </c>
      <c r="B31" s="11">
        <v>0.05</v>
      </c>
      <c r="C31" s="13">
        <f>(B7-(B7*B11)-(B7*B12)-B19-B20)*B31</f>
        <v>603450</v>
      </c>
      <c r="D31" s="11">
        <v>0.03</v>
      </c>
      <c r="E31" s="12">
        <f>B31*D31</f>
        <v>1.5E-3</v>
      </c>
    </row>
    <row r="32" spans="1:5" ht="15.75" thickBot="1" x14ac:dyDescent="0.3">
      <c r="A32" s="14" t="str">
        <f>IF('入力 Inputs'!$F$1="English","GROSS WEIGHTED TOTAL",IF('入力 Inputs'!$F$1="日本語","加重合計","加重合計 / GROSS WEIGHTED TOTAL"))</f>
        <v>GROSS WEIGHTED TOTAL</v>
      </c>
      <c r="B32" s="15">
        <f>B25+B26+B27+B29+B30+B31</f>
        <v>1</v>
      </c>
      <c r="C32" s="255">
        <f>SUM(C26+C25+C27+C29+C30+C31)</f>
        <v>12069000</v>
      </c>
      <c r="D32" s="256">
        <f>AVERAGE(D29:D31,D25:D27)</f>
        <v>6.4250000000000002E-2</v>
      </c>
      <c r="E32" s="15">
        <f>SUM(E25:E31)</f>
        <v>6.2524999999999997E-2</v>
      </c>
    </row>
    <row r="33" spans="1:5" x14ac:dyDescent="0.25">
      <c r="C33" s="254"/>
    </row>
    <row r="34" spans="1:5" ht="15" customHeight="1" x14ac:dyDescent="0.25">
      <c r="A34" s="238" t="str">
        <f>IF('入力 Inputs'!$F$1="English","ANNUITY COMMISSION RATES",IF('入力 Inputs'!$F$1="日本語","年金コミッション率","年金コミッション率 / ANNUITY COMMISSION RATES"))</f>
        <v>ANNUITY COMMISSION RATES</v>
      </c>
      <c r="B34" s="238"/>
      <c r="C34" s="238"/>
      <c r="D34" s="238"/>
      <c r="E34" s="238"/>
    </row>
    <row r="35" spans="1:5" x14ac:dyDescent="0.25">
      <c r="A35" s="10" t="str">
        <f>IF('入力 Inputs'!$F$1="English","Product",IF('入力 Inputs'!$F$1="日本語","商品","商品 / Product"))</f>
        <v>Product</v>
      </c>
      <c r="B35" s="10" t="str">
        <f>IF('入力 Inputs'!$F$1="English","OGA %",IF('入力 Inputs'!$F$1="日本語","OGA率","OGA率 / OGA %"))</f>
        <v>OGA %</v>
      </c>
      <c r="C35" s="10" t="str">
        <f>IF('入力 Inputs'!$F$1="English","Processor (95%) %",IF('入力 Inputs'!$F$1="日本語","プロセッサー率","プロセッサー率 / Processor (95%) %"))</f>
        <v>Processor (95%) %</v>
      </c>
      <c r="D35" s="10" t="str">
        <f>IF('入力 Inputs'!$F$1="English","Regional %",IF('入力 Inputs'!$F$1="日本語","リージョナル率","リージョナル率 / Regional %"))</f>
        <v>Regional %</v>
      </c>
      <c r="E35" s="10" t="str">
        <f>IF('入力 Inputs'!$F$1="English","Notes",IF('入力 Inputs'!$F$1="日本語","備考","備考 / Notes"))</f>
        <v>Notes</v>
      </c>
    </row>
    <row r="36" spans="1:5" x14ac:dyDescent="0.25">
      <c r="A36" s="5" t="str">
        <f>IF('入力 Inputs'!$F$1="English","Intl Fixed Rate Plan Plus",IF('入力 Inputs'!$F$1="日本語","国際固定金利プランプラス","国際固定金利プランプラス / Intl Fixed Rate Plan Plus"))</f>
        <v>Intl Fixed Rate Plan Plus</v>
      </c>
      <c r="B36" s="8">
        <v>0.05</v>
      </c>
      <c r="C36" s="8">
        <v>4.7500000000000001E-2</v>
      </c>
      <c r="D36" s="8">
        <v>4.4999999999999998E-2</v>
      </c>
    </row>
    <row r="37" spans="1:5" x14ac:dyDescent="0.25">
      <c r="A37" s="5" t="str">
        <f>IF('入力 Inputs'!$F$1="English","Intl Fixed Rate Plan",IF('入力 Inputs'!$F$1="日本語","国際固定金利プラン","国際固定金利プラン / Intl Fixed Rate Plan"))</f>
        <v>Intl Fixed Rate Plan</v>
      </c>
      <c r="B37" s="8">
        <v>4.2999999999999997E-2</v>
      </c>
      <c r="C37" s="8">
        <v>4.0849999999999997E-2</v>
      </c>
      <c r="D37" s="8">
        <v>3.8699999999999998E-2</v>
      </c>
    </row>
    <row r="38" spans="1:5" ht="24" x14ac:dyDescent="0.25">
      <c r="A38" s="5" t="str">
        <f>IF('入力 Inputs'!$F$1="English","US 5-Year FIA (AmFirst / Trailhead)",IF('入力 Inputs'!$F$1="日本語","米国5年FIA","米国5年FIA / US 5-Year FIA (AmFirst / Trailhead)"))</f>
        <v>US 5-Year FIA (AmFirst / Trailhead)</v>
      </c>
      <c r="B38" s="8">
        <v>7.7499999999999999E-2</v>
      </c>
      <c r="C38" s="82">
        <f>B38*0.95</f>
        <v>7.3624999999999996E-2</v>
      </c>
      <c r="D38" s="8">
        <v>4.4999999999999998E-2</v>
      </c>
      <c r="E38" s="2" t="s">
        <v>64</v>
      </c>
    </row>
    <row r="40" spans="1:5" ht="15" customHeight="1" x14ac:dyDescent="0.25">
      <c r="A40" s="238" t="str">
        <f>IF('入力 Inputs'!$F$1="English","ANNUAL FUND CHARGES (Step 4)",IF('入力 Inputs'!$F$1="日本語","年間ファンド手数料（ステップ4）","年間ファンド手数料（ステップ4） / ANNUAL FUND CHARGES (Step 4)"))</f>
        <v>ANNUAL FUND CHARGES (Step 4)</v>
      </c>
      <c r="B40" s="238"/>
      <c r="C40" s="238"/>
      <c r="D40" s="238"/>
      <c r="E40" s="238"/>
    </row>
    <row r="41" spans="1:5" x14ac:dyDescent="0.25">
      <c r="A41" s="5" t="str">
        <f>IF('入力 Inputs'!$F$1="English","Advantage M&amp;E %",IF('入力 Inputs'!$F$1="日本語","Advantage M&amp;E率","Advantage M&amp;E率 / Advantage M&amp;E %"))</f>
        <v>Advantage M&amp;E %</v>
      </c>
      <c r="B41" s="8">
        <v>1.5E-3</v>
      </c>
    </row>
    <row r="42" spans="1:5" x14ac:dyDescent="0.25">
      <c r="A42" s="5" t="str">
        <f>IF('入力 Inputs'!$F$1="English","Syndicated / Stephen RIA %",IF('入力 Inputs'!$F$1="日本語","シンジケート/Stephen RIA率","シンジケート/Stephen RIA率 / Syndicated / Stephen RIA %"))</f>
        <v>Syndicated / Stephen RIA %</v>
      </c>
      <c r="B42" s="8">
        <v>1.5E-3</v>
      </c>
    </row>
    <row r="43" spans="1:5" x14ac:dyDescent="0.25">
      <c r="A43" s="5" t="str">
        <f>IF('入力 Inputs'!$F$1="English","Inspira custodian %",IF('入力 Inputs'!$F$1="日本語","インスピラ保管料率","インスピラ保管料率 / Inspira custodian %"))</f>
        <v>Inspira custodian %</v>
      </c>
      <c r="B43" s="8">
        <v>5.0000000000000001E-4</v>
      </c>
      <c r="E43" s="2" t="s">
        <v>65</v>
      </c>
    </row>
    <row r="44" spans="1:5" ht="24" x14ac:dyDescent="0.25">
      <c r="A44" s="260" t="str">
        <f>IF('入力 Inputs'!$F$1="English","Money Manager fee %",IF('入力 Inputs'!$F$1="日本語","マネーマネージャー手数料率","マネーマネージャー手数料率 / Money Manager fee %"))</f>
        <v>Money Manager fee %</v>
      </c>
      <c r="B44" s="257">
        <v>0</v>
      </c>
      <c r="E44" s="1" t="s">
        <v>139</v>
      </c>
    </row>
    <row r="45" spans="1:5" x14ac:dyDescent="0.25">
      <c r="A45" s="5" t="str">
        <f>IF('入力 Inputs'!$F$1="English","Est. Year 1 actual fees",IF('入力 Inputs'!$F$1="日本語","推定初年度実費","推定初年度実費 / Est. Year 1 actual fees"))</f>
        <v>Est. Year 1 actual fees</v>
      </c>
      <c r="B45" s="7">
        <v>26000</v>
      </c>
      <c r="E45" s="1" t="s">
        <v>66</v>
      </c>
    </row>
    <row r="46" spans="1:5" x14ac:dyDescent="0.25">
      <c r="A46" s="5"/>
      <c r="B46" s="7"/>
      <c r="E46" s="1"/>
    </row>
    <row r="47" spans="1:5" x14ac:dyDescent="0.25">
      <c r="A47" s="86" t="str">
        <f>IF('入力 Inputs'!$F$1="English","GROWTH ASSUMPTIONS (Step 5)",IF('入力 Inputs'!$F$1="日本語","成長仮定（ステップ5）","成長仮定（ステップ5） / GROWTH ASSUMPTIONS (Step 5)"))</f>
        <v>GROWTH ASSUMPTIONS (Step 5)</v>
      </c>
      <c r="B47" s="80"/>
      <c r="C47" s="50"/>
      <c r="D47" s="50"/>
      <c r="E47" s="81"/>
    </row>
    <row r="48" spans="1:5" x14ac:dyDescent="0.25">
      <c r="A48" s="87" t="str">
        <f>IF('入力 Inputs'!$F$1="English","Blended portfolio return (auto)",IF('入力 Inputs'!$F$1="日本語","ブレンドポートフォリオリターン（自動）","ブレンドポートフォリオリターン（自動） / Blended portfolio return (auto)"))</f>
        <v>Blended portfolio return (auto)</v>
      </c>
      <c r="B48" s="88">
        <f>SUMPRODUCT(B25:B27,D25:D27)+SUMPRODUCT(B29:B31,D29:D31)</f>
        <v>6.2524999999999997E-2</v>
      </c>
      <c r="E48" s="89" t="s">
        <v>76</v>
      </c>
    </row>
    <row r="49" spans="1:5" ht="24" x14ac:dyDescent="0.25">
      <c r="A49" s="87" t="str">
        <f>IF('入力 Inputs'!$F$1="English","Override rate?",IF('入力 Inputs'!$F$1="日本語","オーバーライド率？","オーバーライド率？ / Override rate?"))</f>
        <v>Override rate?</v>
      </c>
      <c r="B49" s="90" t="s">
        <v>77</v>
      </c>
      <c r="E49" s="91" t="s">
        <v>78</v>
      </c>
    </row>
    <row r="50" spans="1:5" x14ac:dyDescent="0.25">
      <c r="A50" s="87" t="str">
        <f>IF('入力 Inputs'!$F$1="English","Manual override rate",IF('入力 Inputs'!$F$1="日本語","手動オーバーライド率","手動オーバーライド率 / Manual override rate"))</f>
        <v>Manual override rate</v>
      </c>
      <c r="B50" s="92">
        <v>6.5000000000000002E-2</v>
      </c>
      <c r="E50" s="91" t="s">
        <v>79</v>
      </c>
    </row>
    <row r="51" spans="1:5" x14ac:dyDescent="0.25">
      <c r="A51" s="93" t="str">
        <f>IF('入力 Inputs'!$F$1="English","Assumed growth rate (used in projections)",IF('入力 Inputs'!$F$1="日本語","適用成長率（予測に使用）","適用成長率（予測に使用） / Assumed growth rate (used in projections)"))</f>
        <v>Assumed growth rate (used in projections)</v>
      </c>
      <c r="B51" s="96">
        <f>IF(UPPER(B49)="YES",B50,B48)</f>
        <v>6.2524999999999997E-2</v>
      </c>
      <c r="E51" s="97" t="s">
        <v>80</v>
      </c>
    </row>
    <row r="53" spans="1:5" x14ac:dyDescent="0.25">
      <c r="A53" s="85" t="str">
        <f>IF('入力 Inputs'!$F$1="English","CLIENT / INSURED DETAILS (Step 6)",IF('入力 Inputs'!$F$1="日本語","顧客・被保険者情報（ステップ6）","顧客・被保険者情報（ステップ6） / CLIENT / INSURED DETAILS (Step 6)"))</f>
        <v>CLIENT / INSURED DETAILS (Step 6)</v>
      </c>
      <c r="B53" s="50"/>
      <c r="C53" s="50"/>
      <c r="D53" s="50"/>
      <c r="E53" s="50"/>
    </row>
    <row r="54" spans="1:5" x14ac:dyDescent="0.25">
      <c r="A54" s="146" t="str">
        <f>IF('入力 Inputs'!$F$1="English","Insured Name",IF('入力 Inputs'!$F$1="日本語","被保険者名","被保険者名 / Insured Name"))</f>
        <v>Insured Name</v>
      </c>
      <c r="B54" s="147" t="s">
        <v>94</v>
      </c>
    </row>
    <row r="55" spans="1:5" x14ac:dyDescent="0.25">
      <c r="A55" s="146" t="str">
        <f>IF('入力 Inputs'!$F$1="English","Current Age",IF('入力 Inputs'!$F$1="日本語","現在の年齢","現在の年齢 / Current Age"))</f>
        <v>Current Age</v>
      </c>
      <c r="B55" s="148">
        <v>46</v>
      </c>
    </row>
    <row r="56" spans="1:5" x14ac:dyDescent="0.25">
      <c r="A56" s="146" t="str">
        <f>IF('入力 Inputs'!$F$1="English","Premium Charge %",IF('入力 Inputs'!$F$1="日本語","プレミアムチャージ率","プレミアムチャージ率 / Premium Charge %"))</f>
        <v>Premium Charge %</v>
      </c>
      <c r="B56" s="149">
        <f>B11+B12</f>
        <v>6.9999999999999993E-2</v>
      </c>
      <c r="E56" s="4" t="s">
        <v>128</v>
      </c>
    </row>
    <row r="57" spans="1:5" x14ac:dyDescent="0.25">
      <c r="A57" s="146" t="str">
        <f>IF('入力 Inputs'!$F$1="English","Year 1 COI (Cost of Insurance)",IF('入力 Inputs'!$F$1="日本語","初年度COI（保険コスト）","初年度COI（保険コスト） / Year 1 COI (Cost of Insurance)"))</f>
        <v>Year 1 COI (Cost of Insurance)</v>
      </c>
      <c r="B57" s="150">
        <v>118.57</v>
      </c>
      <c r="E57" s="4" t="s">
        <v>95</v>
      </c>
    </row>
    <row r="59" spans="1:5" x14ac:dyDescent="0.25">
      <c r="A59" s="152" t="str">
        <f>IF('入力 Inputs'!$F$1="English","TAX &amp; FX ASSUMPTIONS (Step 7)",IF('入力 Inputs'!$F$1="日本語","税金・為替仮定（ステップ7）","税金・為替仮定（ステップ7） / TAX &amp; FX ASSUMPTIONS (Step 7)"))</f>
        <v>TAX &amp; FX ASSUMPTIONS (Step 7)</v>
      </c>
      <c r="B59" s="50"/>
      <c r="C59" s="50"/>
      <c r="D59" s="50"/>
      <c r="E59" s="50"/>
    </row>
    <row r="60" spans="1:5" x14ac:dyDescent="0.25">
      <c r="A60" s="146" t="str">
        <f>IF('入力 Inputs'!$F$1="English","Current Insurance CSV (USD)",IF('入力 Inputs'!$F$1="日本語","現行保険解約返戻金（米ドル）","現行保険解約返戻金（米ドル） / Current Insurance CSV (USD)"))</f>
        <v>Current Insurance CSV (USD)</v>
      </c>
      <c r="B60" s="153">
        <v>18963106</v>
      </c>
      <c r="E60" s="4" t="s">
        <v>96</v>
      </c>
    </row>
    <row r="61" spans="1:5" x14ac:dyDescent="0.25">
      <c r="A61" s="146" t="str">
        <f>IF('入力 Inputs'!$F$1="English","Basis (USD)",IF('入力 Inputs'!$F$1="日本語","基準額（米ドル）","基準額（米ドル） / Basis (USD)"))</f>
        <v>Basis (USD)</v>
      </c>
      <c r="B61" s="153">
        <v>16195676</v>
      </c>
      <c r="E61" s="4" t="s">
        <v>97</v>
      </c>
    </row>
    <row r="62" spans="1:5" x14ac:dyDescent="0.25">
      <c r="A62" s="146" t="str">
        <f>IF('入力 Inputs'!$F$1="English","FX at Original Contribution",IF('入力 Inputs'!$F$1="日本語","拠出時の為替レート（円/ドル）","拠出時の為替レート（円/ドル） / FX at Original Contribution"))</f>
        <v>FX at Original Contribution</v>
      </c>
      <c r="B62" s="154">
        <v>110</v>
      </c>
    </row>
    <row r="63" spans="1:5" x14ac:dyDescent="0.25">
      <c r="A63" s="146" t="str">
        <f>IF('入力 Inputs'!$F$1="English","Current FX Rate",IF('入力 Inputs'!$F$1="日本語","現在の為替レート（円/ドル）","現在の為替レート（円/ドル） / Current FX Rate"))</f>
        <v>Current FX Rate</v>
      </c>
      <c r="B63" s="154">
        <v>150</v>
      </c>
    </row>
    <row r="64" spans="1:5" x14ac:dyDescent="0.25">
      <c r="A64" s="146" t="str">
        <f>IF('入力 Inputs'!$F$1="English","FX at LLC Dissolution",IF('入力 Inputs'!$F$1="日本語","LLC解散時の為替レート（円/ドル）","LLC解散時の為替レート（円/ドル） / FX at LLC Dissolution"))</f>
        <v>FX at LLC Dissolution</v>
      </c>
      <c r="B64" s="154">
        <v>160</v>
      </c>
      <c r="E64" s="155" t="s">
        <v>98</v>
      </c>
    </row>
    <row r="65" spans="1:5" x14ac:dyDescent="0.25">
      <c r="A65" s="146" t="str">
        <f>IF('入力 Inputs'!$F$1="English","Assumed CSV Growth Rate",IF('入力 Inputs'!$F$1="日本語","解約返戻金成長率","解約返戻金成長率 / Assumed CSV Growth Rate"))</f>
        <v>Assumed CSV Growth Rate</v>
      </c>
      <c r="B65" s="156">
        <v>0.06</v>
      </c>
      <c r="E65" s="4" t="s">
        <v>99</v>
      </c>
    </row>
    <row r="66" spans="1:5" x14ac:dyDescent="0.25">
      <c r="A66" s="146" t="str">
        <f>IF('入力 Inputs'!$F$1="English","Tax Rate",IF('入力 Inputs'!$F$1="日本語","税率","税率 / Tax Rate"))</f>
        <v>Tax Rate</v>
      </c>
      <c r="B66" s="156">
        <v>0.55000000000000004</v>
      </c>
      <c r="E66" s="4" t="s">
        <v>100</v>
      </c>
    </row>
    <row r="67" spans="1:5" x14ac:dyDescent="0.25">
      <c r="A67" s="146" t="str">
        <f>IF('入力 Inputs'!$F$1="English","Basis in JPY (auto)",IF('入力 Inputs'!$F$1="日本語","基準額（円・自動）","基準額（円・自動） / Basis in JPY (auto)"))</f>
        <v>Basis in JPY (auto)</v>
      </c>
      <c r="B67" s="157">
        <f>B61*B62</f>
        <v>1781524360</v>
      </c>
      <c r="E67" s="4" t="s">
        <v>102</v>
      </c>
    </row>
    <row r="69" spans="1:5" x14ac:dyDescent="0.25">
      <c r="A69" s="152" t="str">
        <f>IF('入力 Inputs'!$F$1="English","SURRENDER CHARGE SCHEDULE (Step 8)",IF('入力 Inputs'!$F$1="日本語","解約手数料スケジュール（ステップ8）","解約手数料スケジュール（ステップ8） / SURRENDER CHARGE SCHEDULE (Step 8)"))</f>
        <v>SURRENDER CHARGE SCHEDULE (Step 8)</v>
      </c>
      <c r="B69" s="50"/>
      <c r="C69" s="50"/>
      <c r="D69" s="50"/>
      <c r="E69" s="50"/>
    </row>
    <row r="70" spans="1:5" x14ac:dyDescent="0.25">
      <c r="A70" s="158" t="str">
        <f>IF('入力 Inputs'!$F$1="English","Year",IF('入力 Inputs'!$F$1="日本語","年","年 / Year"))</f>
        <v>Year</v>
      </c>
      <c r="B70" s="158" t="str">
        <f>IF('入力 Inputs'!$F$1="English","Surrender Charge %",IF('入力 Inputs'!$F$1="日本語","解約手数料率","解約手数料率 / Surrender Charge %"))</f>
        <v>Surrender Charge %</v>
      </c>
      <c r="C70" s="158" t="str">
        <f>IF('入力 Inputs'!$F$1="English","Net CSV %",IF('入力 Inputs'!$F$1="日本語","正味CSV率","正味CSV率 / Net CSV %"))</f>
        <v>Net CSV %</v>
      </c>
    </row>
    <row r="71" spans="1:5" x14ac:dyDescent="0.25">
      <c r="A71" s="159">
        <v>1</v>
      </c>
      <c r="B71" s="156">
        <v>0.95</v>
      </c>
      <c r="C71" s="149">
        <f t="shared" ref="C71:C80" si="0">1-B71</f>
        <v>5.0000000000000044E-2</v>
      </c>
    </row>
    <row r="72" spans="1:5" x14ac:dyDescent="0.25">
      <c r="A72" s="159">
        <v>2</v>
      </c>
      <c r="B72" s="156">
        <v>0.9</v>
      </c>
      <c r="C72" s="149">
        <f t="shared" si="0"/>
        <v>9.9999999999999978E-2</v>
      </c>
    </row>
    <row r="73" spans="1:5" x14ac:dyDescent="0.25">
      <c r="A73" s="159">
        <v>3</v>
      </c>
      <c r="B73" s="156">
        <v>0.8</v>
      </c>
      <c r="C73" s="149">
        <f t="shared" si="0"/>
        <v>0.19999999999999996</v>
      </c>
    </row>
    <row r="74" spans="1:5" x14ac:dyDescent="0.25">
      <c r="A74" s="159">
        <v>4</v>
      </c>
      <c r="B74" s="156">
        <v>0.7</v>
      </c>
      <c r="C74" s="149">
        <f t="shared" si="0"/>
        <v>0.30000000000000004</v>
      </c>
    </row>
    <row r="75" spans="1:5" x14ac:dyDescent="0.25">
      <c r="A75" s="159">
        <v>5</v>
      </c>
      <c r="B75" s="156">
        <v>0.6</v>
      </c>
      <c r="C75" s="149">
        <f t="shared" si="0"/>
        <v>0.4</v>
      </c>
    </row>
    <row r="76" spans="1:5" x14ac:dyDescent="0.25">
      <c r="A76" s="159">
        <v>6</v>
      </c>
      <c r="B76" s="156">
        <v>0</v>
      </c>
      <c r="C76" s="149">
        <f t="shared" si="0"/>
        <v>1</v>
      </c>
    </row>
    <row r="77" spans="1:5" x14ac:dyDescent="0.25">
      <c r="A77" s="159">
        <v>7</v>
      </c>
      <c r="B77" s="156">
        <v>0</v>
      </c>
      <c r="C77" s="149">
        <f t="shared" si="0"/>
        <v>1</v>
      </c>
    </row>
    <row r="78" spans="1:5" x14ac:dyDescent="0.25">
      <c r="A78" s="159">
        <v>8</v>
      </c>
      <c r="B78" s="156">
        <v>0</v>
      </c>
      <c r="C78" s="149">
        <f t="shared" si="0"/>
        <v>1</v>
      </c>
    </row>
    <row r="79" spans="1:5" x14ac:dyDescent="0.25">
      <c r="A79" s="159">
        <v>9</v>
      </c>
      <c r="B79" s="156">
        <v>0</v>
      </c>
      <c r="C79" s="149">
        <f t="shared" si="0"/>
        <v>1</v>
      </c>
    </row>
    <row r="80" spans="1:5" x14ac:dyDescent="0.25">
      <c r="A80" s="159">
        <v>10</v>
      </c>
      <c r="B80" s="156">
        <v>0</v>
      </c>
      <c r="C80" s="149">
        <f t="shared" si="0"/>
        <v>1</v>
      </c>
    </row>
    <row r="82" spans="1:5" x14ac:dyDescent="0.25">
      <c r="A82" s="152" t="str">
        <f>IF('入力 Inputs'!$F$1="English","CARRIER ILLUSTRATION RATES (Step 9)",IF('入力 Inputs'!$F$1="日本語","キャリアイラストレーション率（ステップ9）","キャリアイラストレーション率（ステップ9） / CARRIER ILLUSTRATION RATES (Step 9)"))</f>
        <v>CARRIER ILLUSTRATION RATES (Step 9)</v>
      </c>
      <c r="B82" s="50"/>
      <c r="C82" s="50"/>
      <c r="D82" s="50"/>
      <c r="E82" s="50"/>
    </row>
    <row r="83" spans="1:5" x14ac:dyDescent="0.25">
      <c r="A83" s="146" t="str">
        <f>IF('入力 Inputs'!$F$1="English","Variable Basis Rate",IF('入力 Inputs'!$F$1="日本語","変動基準金利","変動基準金利 / Variable Basis Rate"))</f>
        <v>Variable Basis Rate</v>
      </c>
      <c r="B83" s="156">
        <f>B51</f>
        <v>6.2524999999999997E-2</v>
      </c>
      <c r="E83" s="4" t="s">
        <v>101</v>
      </c>
    </row>
    <row r="84" spans="1:5" x14ac:dyDescent="0.25">
      <c r="A84" s="146" t="str">
        <f>IF('入力 Inputs'!$F$1="English","1st Alternate Rate",IF('入力 Inputs'!$F$1="日本語","第1代替金利","第1代替金利 / 1st Alternate Rate"))</f>
        <v>1st Alternate Rate</v>
      </c>
      <c r="B84" s="156">
        <v>6.5000000000000002E-2</v>
      </c>
    </row>
    <row r="85" spans="1:5" x14ac:dyDescent="0.25">
      <c r="A85" s="146" t="str">
        <f>IF('入力 Inputs'!$F$1="English","2nd Alternate Rate",IF('入力 Inputs'!$F$1="日本語","第2代替金利","第2代替金利 / 2nd Alternate Rate"))</f>
        <v>2nd Alternate Rate</v>
      </c>
      <c r="B85" s="156">
        <v>7.0000000000000007E-2</v>
      </c>
    </row>
    <row r="86" spans="1:5" x14ac:dyDescent="0.25">
      <c r="A86" s="146" t="str">
        <f>IF('入力 Inputs'!$F$1="English","Projection Horizon (years)",IF('入力 Inputs'!$F$1="日本語","予測期間（年）","予測期間（年） / Projection Horizon (years)"))</f>
        <v>Projection Horizon (years)</v>
      </c>
      <c r="B86" s="148">
        <v>60</v>
      </c>
    </row>
    <row r="87" spans="1:5" x14ac:dyDescent="0.25">
      <c r="A87" s="146" t="str">
        <f>IF('入力 Inputs'!$F$1="English","Net to Policy (auto)",IF('入力 Inputs'!$F$1="日本語","正味保険料（自動）","正味保険料（自動） / Net to Policy (auto)"))</f>
        <v>Net to Policy (auto)</v>
      </c>
      <c r="B87" s="161">
        <f>B7*(1-B56)</f>
        <v>12090000</v>
      </c>
      <c r="E87" s="4" t="s">
        <v>103</v>
      </c>
    </row>
    <row r="90" spans="1:5" x14ac:dyDescent="0.25">
      <c r="A90" s="151" t="str">
        <f>IF('入力 Inputs'!$F$1="English","COI ESCALATION (Step 11)",IF('入力 Inputs'!$F$1="日本語","COI成長仮定（ステップ11）","COI成長仮定（ステップ11） / COI ESCALATION (Step 11)"))</f>
        <v>COI ESCALATION (Step 11)</v>
      </c>
      <c r="B90" s="151"/>
      <c r="C90" s="151"/>
      <c r="D90" s="151"/>
      <c r="E90" s="151"/>
    </row>
    <row r="91" spans="1:5" x14ac:dyDescent="0.25">
      <c r="A91" s="42" t="str">
        <f>IF('入力 Inputs'!$F$1="English","Annual COI Growth Rate",IF('入力 Inputs'!$F$1="日本語","年間COI成長率","年間COI成長率 / Annual COI Growth Rate"))</f>
        <v>Annual COI Growth Rate</v>
      </c>
      <c r="B91" s="197">
        <v>0.03</v>
      </c>
      <c r="E91" s="198" t="str">
        <f>IF('入力 Inputs'!$F$1="English","COI increases with age — typically 3-5% annually",IF('入力 Inputs'!$F$1="日本語","COIは年齢とともに増加 — 典型的に年3-5%","COIは年齢とともに増加 — 典型的に年3-5% / COI increases with age — typically 3-5% annually"))</f>
        <v>COI increases with age — typically 3-5% annually</v>
      </c>
    </row>
    <row r="93" spans="1:5" x14ac:dyDescent="0.25">
      <c r="A93" s="151" t="str">
        <f>IF('入力 Inputs'!$F$1="English","ALTERNATE DESIGN B SURRENDER SCHEDULE (Step 12)",IF('入力 Inputs'!$F$1="日本語","代替デザインB解約スケジュール（ステップ12）","代替デザインB解約スケジュール（ステップ12） / ALTERNATE DESIGN B SURRENDER SCHEDULE (Step 12)"))</f>
        <v>ALTERNATE DESIGN B SURRENDER SCHEDULE (Step 12)</v>
      </c>
      <c r="B93" s="151"/>
      <c r="C93" s="151"/>
      <c r="D93" s="151"/>
      <c r="E93" s="151"/>
    </row>
    <row r="94" spans="1:5" x14ac:dyDescent="0.25">
      <c r="A94" t="str">
        <f>IF('入力 Inputs'!$F$1="English","Design B Name",IF('入力 Inputs'!$F$1="日本語","デザインB名","デザインB名 / Design B Name"))</f>
        <v>Design B Name</v>
      </c>
      <c r="B94" s="212" t="s">
        <v>109</v>
      </c>
    </row>
    <row r="95" spans="1:5" x14ac:dyDescent="0.25">
      <c r="A95" t="str">
        <f>IF('入力 Inputs'!$F$1="English","Design B Illustration Rate",IF('入力 Inputs'!$F$1="日本語","デザインBイラストレーション率","デザインBイラストレーション率 / Design B Illustration Rate"))</f>
        <v>Design B Illustration Rate</v>
      </c>
      <c r="B95" s="196">
        <v>5.5E-2</v>
      </c>
    </row>
    <row r="96" spans="1:5" x14ac:dyDescent="0.25">
      <c r="A96" s="189" t="str">
        <f>IF('入力 Inputs'!$F$1="English","Year",IF('入力 Inputs'!$F$1="日本語","年","年 / Year"))</f>
        <v>Year</v>
      </c>
      <c r="B96" s="189" t="str">
        <f>IF('入力 Inputs'!$F$1="English","Design B Surrender %",IF('入力 Inputs'!$F$1="日本語","デザインB解約手数料率","デザインB解約手数料率 / Design B Surrender %"))</f>
        <v>Design B Surrender %</v>
      </c>
    </row>
    <row r="97" spans="1:2" x14ac:dyDescent="0.25">
      <c r="A97" s="213">
        <v>1</v>
      </c>
      <c r="B97" s="196">
        <v>1</v>
      </c>
    </row>
    <row r="98" spans="1:2" x14ac:dyDescent="0.25">
      <c r="A98" s="213">
        <v>2</v>
      </c>
      <c r="B98" s="196">
        <v>0.4</v>
      </c>
    </row>
    <row r="99" spans="1:2" x14ac:dyDescent="0.25">
      <c r="A99" s="213">
        <v>3</v>
      </c>
      <c r="B99" s="196">
        <v>0.2</v>
      </c>
    </row>
    <row r="100" spans="1:2" x14ac:dyDescent="0.25">
      <c r="A100" s="213">
        <v>4</v>
      </c>
      <c r="B100" s="196">
        <v>0.1</v>
      </c>
    </row>
    <row r="101" spans="1:2" x14ac:dyDescent="0.25">
      <c r="A101" s="213">
        <v>5</v>
      </c>
      <c r="B101" s="196">
        <v>0.05</v>
      </c>
    </row>
    <row r="102" spans="1:2" x14ac:dyDescent="0.25">
      <c r="A102" s="213">
        <v>6</v>
      </c>
      <c r="B102" s="196">
        <v>0</v>
      </c>
    </row>
    <row r="103" spans="1:2" x14ac:dyDescent="0.25">
      <c r="A103" s="213">
        <v>7</v>
      </c>
      <c r="B103" s="196">
        <v>0</v>
      </c>
    </row>
    <row r="104" spans="1:2" x14ac:dyDescent="0.25">
      <c r="A104" s="213">
        <v>8</v>
      </c>
      <c r="B104" s="196">
        <v>0</v>
      </c>
    </row>
    <row r="105" spans="1:2" x14ac:dyDescent="0.25">
      <c r="A105" s="213">
        <v>9</v>
      </c>
      <c r="B105" s="196">
        <v>0</v>
      </c>
    </row>
    <row r="106" spans="1:2" x14ac:dyDescent="0.25">
      <c r="A106" s="213">
        <v>10</v>
      </c>
      <c r="B106" s="196">
        <v>0</v>
      </c>
    </row>
  </sheetData>
  <mergeCells count="10">
    <mergeCell ref="A1:E1"/>
    <mergeCell ref="A2:E2"/>
    <mergeCell ref="A4:E4"/>
    <mergeCell ref="A10:E10"/>
    <mergeCell ref="A18:E18"/>
    <mergeCell ref="A22:E22"/>
    <mergeCell ref="A24:E24"/>
    <mergeCell ref="A28:E28"/>
    <mergeCell ref="A34:E34"/>
    <mergeCell ref="A40:E40"/>
  </mergeCells>
  <dataValidations count="2">
    <dataValidation type="list" allowBlank="1" showInputMessage="1" showErrorMessage="1" errorTitle="Invalid Entry" error="Please select Yes or No" sqref="B49" xr:uid="{38E4BC3F-133D-44C8-871A-869105F0C315}">
      <formula1>"Yes,No"</formula1>
    </dataValidation>
    <dataValidation type="list" allowBlank="1" showInputMessage="1" showErrorMessage="1" sqref="E1 F1" xr:uid="{75D45B96-D3DF-455E-B1BD-904CE062EF98}">
      <formula1>"日本語,English,Both"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4"/>
  <sheetViews>
    <sheetView topLeftCell="A6" zoomScaleNormal="100" workbookViewId="0">
      <selection activeCell="E54" sqref="E54"/>
    </sheetView>
  </sheetViews>
  <sheetFormatPr defaultColWidth="8.7109375" defaultRowHeight="15" x14ac:dyDescent="0.25"/>
  <cols>
    <col min="1" max="1" width="70.42578125" customWidth="1"/>
    <col min="2" max="2" width="18" customWidth="1"/>
    <col min="3" max="3" width="13" customWidth="1"/>
    <col min="4" max="9" width="22.85546875" customWidth="1"/>
  </cols>
  <sheetData>
    <row r="1" spans="1:9" ht="17.45" customHeight="1" x14ac:dyDescent="0.25">
      <c r="A1" s="241" t="str">
        <f>IF('入力 Inputs'!$F$1="English","PPVA DEAL MODEL — FULL CALCULATION DETAIL",IF('入力 Inputs'!$F$1="日本語","PPVA取引モデル — 計算詳細","PPVA取引モデル — 計算詳細 / PPVA DEAL MODEL — FULL CALCULATION DETAIL"))</f>
        <v>PPVA DEAL MODEL — FULL CALCULATION DETAIL</v>
      </c>
      <c r="B1" s="241"/>
      <c r="C1" s="241"/>
      <c r="D1" s="241"/>
      <c r="E1" s="241"/>
      <c r="F1" s="241"/>
      <c r="G1" s="241"/>
      <c r="H1" s="241"/>
      <c r="I1" s="241"/>
    </row>
    <row r="2" spans="1:9" x14ac:dyDescent="0.25">
      <c r="A2" s="244" t="str">
        <f>IF('入力 Inputs'!$F$1="English","All values pull from Inputs sheet. Update inputs there.",IF('入力 Inputs'!$F$1="日本語","全ての値は入力シートから取得。入力を変更すると自動再計算","全ての値は入力シートから取得。入力を変更すると自動再計算 / All values pull from Inputs sheet. Update inputs there."))</f>
        <v>All values pull from Inputs sheet. Update inputs there.</v>
      </c>
      <c r="B2" s="244"/>
      <c r="C2" s="244"/>
      <c r="D2" s="244"/>
      <c r="E2" s="244"/>
      <c r="F2" s="244"/>
      <c r="G2" s="244"/>
      <c r="H2" s="244"/>
      <c r="I2" s="244"/>
    </row>
    <row r="4" spans="1:9" ht="15" customHeight="1" x14ac:dyDescent="0.25">
      <c r="A4" s="250" t="str">
        <f>IF('入力 Inputs'!$F$1="English","STEP 1 — PREMIUM LOAD",IF('入力 Inputs'!$F$1="日本語","ステップ1 — プレミアムロード","ステップ1 — プレミアムロード / STEP 1 — PREMIUM LOAD"))</f>
        <v>STEP 1 — PREMIUM LOAD</v>
      </c>
      <c r="B4" s="250"/>
      <c r="C4" s="250"/>
      <c r="D4" s="250"/>
      <c r="E4" s="250"/>
      <c r="F4" s="250"/>
      <c r="G4" s="250"/>
      <c r="H4" s="250"/>
      <c r="I4" s="250"/>
    </row>
    <row r="5" spans="1:9" x14ac:dyDescent="0.25">
      <c r="A5" s="5" t="str">
        <f>IF('入力 Inputs'!$F$1="English","Total Deposit",IF('入力 Inputs'!$F$1="日本語","預入総額","預入総額 / Total Deposit"))</f>
        <v>Total Deposit</v>
      </c>
      <c r="B5" s="13">
        <f>'入力 Inputs'!B7</f>
        <v>13000000</v>
      </c>
    </row>
    <row r="6" spans="1:9" x14ac:dyDescent="0.25">
      <c r="A6" s="5" t="str">
        <f>IF('入力 Inputs'!$F$1="English","Premium Load (6%)",IF('入力 Inputs'!$F$1="日本語","プレミアムロード（6%）","プレミアムロード（6%） / Premium Load (6%)"))</f>
        <v>Premium Load (6%)</v>
      </c>
      <c r="B6" s="13">
        <f>'入力 Inputs'!B7*'入力 Inputs'!B11</f>
        <v>780000</v>
      </c>
      <c r="C6" s="9">
        <f>'入力 Inputs'!B11</f>
        <v>0.06</v>
      </c>
      <c r="D6" s="145"/>
    </row>
    <row r="7" spans="1:9" x14ac:dyDescent="0.25">
      <c r="A7" s="5" t="str">
        <f>IF('入力 Inputs'!$F$1="English","3cStructures (1%)",IF('入力 Inputs'!$F$1="日本語","3cStructures（1%）","3cStructures（1%） / 3cStructures (1%)"))</f>
        <v>3cStructures (1%)</v>
      </c>
      <c r="B7" s="13">
        <f>'入力 Inputs'!B7*'入力 Inputs'!B12</f>
        <v>130000</v>
      </c>
      <c r="C7" s="9">
        <f>'入力 Inputs'!B12</f>
        <v>0.01</v>
      </c>
    </row>
    <row r="8" spans="1:9" x14ac:dyDescent="0.25">
      <c r="A8" s="16" t="str">
        <f>IF('入力 Inputs'!$F$1="English","Total Premium Load",IF('入力 Inputs'!$F$1="日本語","プレミアムロード合計","プレミアムロード合計 / Total Premium Load"))</f>
        <v>Total Premium Load</v>
      </c>
      <c r="B8" s="17">
        <f>B6+B7</f>
        <v>910000</v>
      </c>
      <c r="C8" s="18">
        <f>'入力 Inputs'!B11+'入力 Inputs'!B12</f>
        <v>6.9999999999999993E-2</v>
      </c>
    </row>
    <row r="10" spans="1:9" ht="15" customHeight="1" x14ac:dyDescent="0.25">
      <c r="A10" s="259" t="str">
        <f>IF('入力 Inputs'!$F$1="English","Premium Load Payout Waterfall",IF('入力 Inputs'!$F$1="日本語","プレミアムロード支払ウォーターフォール","プレミアムロード支払ウォーターフォール / Premium Load Payout Waterfall"))</f>
        <v>Premium Load Payout Waterfall</v>
      </c>
      <c r="B10" s="259"/>
      <c r="C10" s="259"/>
      <c r="D10" s="259"/>
      <c r="E10" s="259"/>
      <c r="F10" s="238"/>
      <c r="G10" s="238"/>
      <c r="H10" s="238"/>
      <c r="I10" s="238"/>
    </row>
    <row r="11" spans="1:9" x14ac:dyDescent="0.25">
      <c r="A11" s="260" t="str">
        <f>IF('入力 Inputs'!$F$1="English","Syndicated Capital Holdback (0.05 × 6%)",IF('入力 Inputs'!$F$1="日本語","Syndicated Capital保持（0.05 × 6%）","Syndicated Capital保持（0.05 × 6%） / Syndicated Capital Holdback (0.05 × 6%)"))</f>
        <v>Syndicated Capital Holdback (0.05 × 6%)</v>
      </c>
      <c r="B11" s="261">
        <f>B6*'入力 Inputs'!B13</f>
        <v>39000</v>
      </c>
      <c r="C11" s="258">
        <f>'入力 Inputs'!B13</f>
        <v>0.05</v>
      </c>
      <c r="E11" s="195" t="s">
        <v>129</v>
      </c>
    </row>
    <row r="12" spans="1:9" x14ac:dyDescent="0.25">
      <c r="A12" s="260" t="str">
        <f>IF('入力 Inputs'!$F$1="English","Net to Stephen (Syndicated)",IF('入力 Inputs'!$F$1="日本語","Stephenへのネット（Syndicated）","Stephenへのネット（Syndicated） / Net to Stephen (Syndicated)"))</f>
        <v>Net to Stephen (Syndicated)</v>
      </c>
      <c r="B12" s="261">
        <f>B6-B11</f>
        <v>741000</v>
      </c>
      <c r="E12" s="195" t="s">
        <v>130</v>
      </c>
    </row>
    <row r="13" spans="1:9" ht="36" x14ac:dyDescent="0.25">
      <c r="A13" s="260" t="str">
        <f>IF('入力 Inputs'!$F$1="English","PB Investment Services Holdback (0.05 × 6%)",IF('入力 Inputs'!$F$1="日本語","PB Investment Services保持（0.05 × 6%）","PB Investment Services保持（0.05 × 6%） / PB Investment Services Holdback (0.05 × 6%)"))</f>
        <v>PB Investment Services Holdback (0.05 × 6%)</v>
      </c>
      <c r="B13" s="261">
        <f>B6*'入力 Inputs'!B14</f>
        <v>39000</v>
      </c>
      <c r="C13" s="258">
        <f>'入力 Inputs'!B14</f>
        <v>0.05</v>
      </c>
      <c r="E13" s="2" t="s">
        <v>131</v>
      </c>
    </row>
    <row r="14" spans="1:9" ht="24" x14ac:dyDescent="0.25">
      <c r="A14" s="262" t="str">
        <f>IF('入力 Inputs'!$F$1="English","PB sends to PBWR (5.4%)",IF('入力 Inputs'!$F$1="日本語","PBからPBWRへ送金（5.4%）","PBからPBWRへ送金（5.4%） / PB sends to PBWR (5.4%)"))</f>
        <v>PB sends to PBWR (5.4%)</v>
      </c>
      <c r="B14" s="263">
        <f>B12-B13</f>
        <v>702000</v>
      </c>
      <c r="C14" s="264">
        <f>B14/'入力 Inputs'!B7</f>
        <v>5.3999999999999999E-2</v>
      </c>
      <c r="E14" s="2" t="s">
        <v>132</v>
      </c>
    </row>
    <row r="15" spans="1:9" ht="24" x14ac:dyDescent="0.25">
      <c r="A15" s="260" t="str">
        <f>IF('入力 Inputs'!$F$1="English","   PBWR share (50%)",IF('入力 Inputs'!$F$1="日本語","   PBWR分配（50%）","   PBWR分配（50%） /    PBWR share (50%)"))</f>
        <v xml:space="preserve">   PBWR share (50%)</v>
      </c>
      <c r="B15" s="261">
        <f>B14*'入力 Inputs'!B15</f>
        <v>351000</v>
      </c>
      <c r="C15" s="258">
        <f>'入力 Inputs'!B15</f>
        <v>0.5</v>
      </c>
      <c r="E15" s="1" t="s">
        <v>60</v>
      </c>
    </row>
    <row r="16" spans="1:9" ht="24" x14ac:dyDescent="0.25">
      <c r="A16" s="260" t="str">
        <f>IF('入力 Inputs'!$F$1="English","   Ohana share (50%)",IF('入力 Inputs'!$F$1="日本語","   Ohana分配（50%）","   Ohana分配（50%） /    Ohana share (50%)"))</f>
        <v xml:space="preserve">   Ohana share (50%)</v>
      </c>
      <c r="B16" s="261">
        <f>B14*'入力 Inputs'!B16</f>
        <v>351000</v>
      </c>
      <c r="C16" s="258">
        <f>'入力 Inputs'!B16</f>
        <v>0.5</v>
      </c>
      <c r="E16" s="1" t="s">
        <v>60</v>
      </c>
    </row>
    <row r="18" spans="1:9" ht="15" customHeight="1" x14ac:dyDescent="0.25">
      <c r="A18" s="247" t="str">
        <f>IF('入力 Inputs'!$F$1="English","STEP 2 — ADMIN &amp; BANK FEES",IF('入力 Inputs'!$F$1="日本語","ステップ2 — 管理・銀行手数料","ステップ2 — 管理・銀行手数料 / STEP 2 — ADMIN &amp; BANK FEES"))</f>
        <v>STEP 2 — ADMIN &amp; BANK FEES</v>
      </c>
      <c r="B18" s="247"/>
      <c r="C18" s="247"/>
      <c r="D18" s="247"/>
      <c r="E18" s="247"/>
      <c r="F18" s="247"/>
      <c r="G18" s="247"/>
      <c r="H18" s="247"/>
      <c r="I18" s="247"/>
    </row>
    <row r="19" spans="1:9" ht="36" x14ac:dyDescent="0.25">
      <c r="A19" s="5" t="str">
        <f>IF('入力 Inputs'!$F$1="English","Advantage annuity admin fee",IF('入力 Inputs'!$F$1="日本語","Advantage年金管理費","Advantage年金管理費 / Advantage annuity admin fee"))</f>
        <v>Advantage annuity admin fee</v>
      </c>
      <c r="B19" s="13">
        <f>'入力 Inputs'!B19</f>
        <v>19500</v>
      </c>
      <c r="D19" s="2" t="s">
        <v>92</v>
      </c>
    </row>
    <row r="20" spans="1:9" ht="24" x14ac:dyDescent="0.25">
      <c r="A20" s="5" t="str">
        <f>IF('入力 Inputs'!$F$1="English","Misc. bank / setup fees",IF('入力 Inputs'!$F$1="日本語","その他銀行・設定費","その他銀行・設定費 / Misc. bank / setup fees"))</f>
        <v>Misc. bank / setup fees</v>
      </c>
      <c r="B20" s="13">
        <f>'入力 Inputs'!B20</f>
        <v>1500</v>
      </c>
      <c r="D20" s="2" t="s">
        <v>93</v>
      </c>
    </row>
    <row r="21" spans="1:9" x14ac:dyDescent="0.25">
      <c r="A21" s="16" t="str">
        <f>IF('入力 Inputs'!$F$1="English","Total Admin &amp; Fees",IF('入力 Inputs'!$F$1="日本語","管理手数料合計","管理手数料合計 / Total Admin &amp; Fees"))</f>
        <v>Total Admin &amp; Fees</v>
      </c>
      <c r="B21" s="17">
        <f>B19+B20</f>
        <v>21000</v>
      </c>
    </row>
    <row r="23" spans="1:9" x14ac:dyDescent="0.25">
      <c r="A23" s="19" t="str">
        <f>IF('入力 Inputs'!$F$1="English","NET WIRED TO INSPIRA",IF('入力 Inputs'!$F$1="日本語","インスピラへの正味送金額","インスピラへの正味送金額 / NET WIRED TO INSPIRA"))</f>
        <v>NET WIRED TO INSPIRA</v>
      </c>
      <c r="B23" s="20">
        <f>'入力 Inputs'!B7-B8-B21</f>
        <v>12069000</v>
      </c>
    </row>
    <row r="25" spans="1:9" ht="15" customHeight="1" x14ac:dyDescent="0.25">
      <c r="A25" s="247" t="str">
        <f>IF('入力 Inputs'!$F$1="English","STEP 3 — INSPIRA FUND ALLOCATIONS",IF('入力 Inputs'!$F$1="日本語","ステップ3 — インスピラファンド配分","ステップ3 — インスピラファンド配分 / STEP 3 — INSPIRA FUND ALLOCATIONS"))</f>
        <v>STEP 3 — INSPIRA FUND ALLOCATIONS</v>
      </c>
      <c r="B25" s="247"/>
      <c r="C25" s="247"/>
      <c r="D25" s="247"/>
      <c r="E25" s="247"/>
      <c r="F25" s="247"/>
      <c r="G25" s="247"/>
      <c r="H25" s="247"/>
      <c r="I25" s="247"/>
    </row>
    <row r="26" spans="1:9" x14ac:dyDescent="0.25">
      <c r="A26" s="10" t="str">
        <f>IF('入力 Inputs'!$F$1="English","Product",IF('入力 Inputs'!$F$1="日本語","商品","商品 / Product"))</f>
        <v>Product</v>
      </c>
      <c r="B26" s="10" t="s">
        <v>55</v>
      </c>
      <c r="C26" s="10" t="s">
        <v>44</v>
      </c>
      <c r="D26" s="10" t="s">
        <v>63</v>
      </c>
      <c r="E26" s="10" t="s">
        <v>67</v>
      </c>
      <c r="F26" s="10" t="s">
        <v>68</v>
      </c>
      <c r="G26" s="10"/>
      <c r="H26" s="10" t="s">
        <v>69</v>
      </c>
      <c r="I26" s="10" t="s">
        <v>70</v>
      </c>
    </row>
    <row r="27" spans="1:9" ht="15" customHeight="1" x14ac:dyDescent="0.25">
      <c r="A27" s="238" t="str">
        <f>IF('入力 Inputs'!$F$1="English","GUARANTEED PRODUCTS (75%)",IF('入力 Inputs'!$F$1="日本語","保証商品（75%）","保証商品（75%） / GUARANTEED PRODUCTS (75%)"))</f>
        <v>GUARANTEED PRODUCTS (75%)</v>
      </c>
      <c r="B27" s="238"/>
      <c r="C27" s="238"/>
      <c r="D27" s="238"/>
      <c r="E27" s="238"/>
      <c r="F27" s="238"/>
      <c r="G27" s="238"/>
      <c r="H27" s="238"/>
      <c r="I27" s="238"/>
    </row>
    <row r="28" spans="1:9" x14ac:dyDescent="0.25">
      <c r="A28" s="5" t="str">
        <f>IF('入力 Inputs'!$F$1="English","Intl Fixed Rate Plan Plus",IF('入力 Inputs'!$F$1="日本語","国際固定金利プランプラス","国際固定金利プランプラス / Intl Fixed Rate Plan Plus"))</f>
        <v>Intl Fixed Rate Plan Plus</v>
      </c>
      <c r="B28" s="12">
        <f>'入力 Inputs'!B25</f>
        <v>0.35</v>
      </c>
      <c r="C28" s="13">
        <f>'入力 Inputs'!C25</f>
        <v>4224150</v>
      </c>
      <c r="D28" s="12">
        <f>'入力 Inputs'!D25</f>
        <v>5.8000000000000003E-2</v>
      </c>
      <c r="E28" s="12">
        <f>B28*D28</f>
        <v>2.0299999999999999E-2</v>
      </c>
      <c r="F28" s="13">
        <f>'入力 Inputs'!C25*'入力 Inputs'!B36</f>
        <v>211207.5</v>
      </c>
      <c r="G28" s="13"/>
      <c r="H28" s="13">
        <f>'入力 Inputs'!C25*'入力 Inputs'!C36</f>
        <v>200647.125</v>
      </c>
      <c r="I28" s="13">
        <f>'入力 Inputs'!C25*'入力 Inputs'!D36</f>
        <v>190086.75</v>
      </c>
    </row>
    <row r="29" spans="1:9" x14ac:dyDescent="0.25">
      <c r="A29" s="5" t="str">
        <f>IF('入力 Inputs'!$F$1="English","Intl Fixed Rate Plan",IF('入力 Inputs'!$F$1="日本語","国際固定金利プラン","国際固定金利プラン / Intl Fixed Rate Plan"))</f>
        <v>Intl Fixed Rate Plan</v>
      </c>
      <c r="B29" s="12">
        <f>'入力 Inputs'!B26</f>
        <v>0.25</v>
      </c>
      <c r="C29" s="13">
        <f>'入力 Inputs'!C26</f>
        <v>3017250</v>
      </c>
      <c r="D29" s="12">
        <f>'入力 Inputs'!D26</f>
        <v>5.6000000000000001E-2</v>
      </c>
      <c r="E29" s="12">
        <f>B29*D29</f>
        <v>1.4E-2</v>
      </c>
      <c r="F29" s="13">
        <f>'入力 Inputs'!C26*'入力 Inputs'!B37</f>
        <v>129741.74999999999</v>
      </c>
      <c r="G29" s="13"/>
      <c r="H29" s="13">
        <f>'入力 Inputs'!C26*'入力 Inputs'!C37</f>
        <v>123254.66249999999</v>
      </c>
      <c r="I29" s="13">
        <f>'入力 Inputs'!C26*'入力 Inputs'!D37</f>
        <v>116767.575</v>
      </c>
    </row>
    <row r="30" spans="1:9" x14ac:dyDescent="0.25">
      <c r="A30" s="5" t="str">
        <f>IF('入力 Inputs'!$F$1="English","US 5-Year FIA (AmFirst / Trailhead)",IF('入力 Inputs'!$F$1="日本語","米国5年FIA","米国5年FIA / US 5-Year FIA (AmFirst / Trailhead)"))</f>
        <v>US 5-Year FIA (AmFirst / Trailhead)</v>
      </c>
      <c r="B30" s="12">
        <f>'入力 Inputs'!B27</f>
        <v>0.15</v>
      </c>
      <c r="C30" s="13">
        <f>'入力 Inputs'!C27</f>
        <v>1810350</v>
      </c>
      <c r="D30" s="12">
        <f>'入力 Inputs'!D27</f>
        <v>5.1499999999999997E-2</v>
      </c>
      <c r="E30" s="12">
        <f>B30*D30</f>
        <v>7.7249999999999992E-3</v>
      </c>
      <c r="F30" s="13">
        <f>'入力 Inputs'!C27*'入力 Inputs'!B38</f>
        <v>140302.125</v>
      </c>
      <c r="G30" s="13"/>
      <c r="H30" s="83">
        <f>'入力 Inputs'!C38*C30</f>
        <v>133287.01874999999</v>
      </c>
      <c r="I30" s="13">
        <f>'入力 Inputs'!C27*'入力 Inputs'!D38</f>
        <v>81465.75</v>
      </c>
    </row>
    <row r="31" spans="1:9" x14ac:dyDescent="0.25">
      <c r="A31" s="16" t="str">
        <f>IF('入力 Inputs'!$F$1="English","Guaranteed Subtotal (75%)",IF('入力 Inputs'!$F$1="日本語","保証商品小計（75%）","保証商品小計（75%） / Guaranteed Subtotal (75%)"))</f>
        <v>Guaranteed Subtotal (75%)</v>
      </c>
      <c r="B31" s="15">
        <f>B28+B29+B30</f>
        <v>0.75</v>
      </c>
      <c r="C31" s="17">
        <f>C28+C29+C30</f>
        <v>9051750</v>
      </c>
      <c r="D31" s="16"/>
      <c r="E31" s="15">
        <f>E28+E29+E30</f>
        <v>4.2024999999999993E-2</v>
      </c>
      <c r="F31" s="17">
        <f>F28+F29+F30</f>
        <v>481251.375</v>
      </c>
      <c r="G31" s="17"/>
      <c r="H31" s="17">
        <f>H28+H29+H30</f>
        <v>457188.80624999997</v>
      </c>
      <c r="I31" s="17">
        <f>I28+I29+I30</f>
        <v>388320.07500000001</v>
      </c>
    </row>
    <row r="33" spans="1:9" ht="15" customHeight="1" x14ac:dyDescent="0.25">
      <c r="A33" s="238" t="str">
        <f>IF('入力 Inputs'!$F$1="English","NON-GUARANTEED (25%)",IF('入力 Inputs'!$F$1="日本語","非保証（25%）","非保証（25%） / NON-GUARANTEED (25%)"))</f>
        <v>NON-GUARANTEED (25%)</v>
      </c>
      <c r="B33" s="238"/>
      <c r="C33" s="238"/>
      <c r="D33" s="238"/>
      <c r="E33" s="238"/>
      <c r="F33" s="238"/>
      <c r="G33" s="238"/>
      <c r="H33" s="238"/>
      <c r="I33" s="238"/>
    </row>
    <row r="34" spans="1:9" x14ac:dyDescent="0.25">
      <c r="A34" s="5" t="str">
        <f>IF('入力 Inputs'!$F$1="English","AAIDX (Alt Income — Investment Fund)",IF('入力 Inputs'!$F$1="日本語","AAIDX（代替収益）","AAIDX（代替収益） / AAIDX (Alt Income — Investment Fund)"))</f>
        <v>AAIDX (Alt Income — Investment Fund)</v>
      </c>
      <c r="B34" s="12">
        <f>'入力 Inputs'!B29</f>
        <v>0.1</v>
      </c>
      <c r="C34" s="13">
        <f>'入力 Inputs'!C29</f>
        <v>1206900</v>
      </c>
      <c r="D34" s="12">
        <f>'入力 Inputs'!D29</f>
        <v>7.0000000000000007E-2</v>
      </c>
      <c r="E34" s="12">
        <f>B34*D34</f>
        <v>7.000000000000001E-3</v>
      </c>
      <c r="F34" s="21" t="s">
        <v>6</v>
      </c>
      <c r="G34" s="21"/>
      <c r="H34" s="21" t="s">
        <v>6</v>
      </c>
      <c r="I34" s="21" t="s">
        <v>6</v>
      </c>
    </row>
    <row r="35" spans="1:9" x14ac:dyDescent="0.25">
      <c r="A35" s="5" t="str">
        <f>IF('入力 Inputs'!$F$1="English","ACRE III (CRE Fund — Investment Fund)",IF('入力 Inputs'!$F$1="日本語","ACRE III（CREファンド）","ACRE III（CREファンド） / ACRE III (CRE Fund — Investment Fund)"))</f>
        <v>ACRE III (CRE Fund — Investment Fund)</v>
      </c>
      <c r="B35" s="12">
        <f>'入力 Inputs'!B30</f>
        <v>0.1</v>
      </c>
      <c r="C35" s="13">
        <f>'入力 Inputs'!C30</f>
        <v>1206900</v>
      </c>
      <c r="D35" s="12">
        <f>'入力 Inputs'!D30</f>
        <v>0.12</v>
      </c>
      <c r="E35" s="12">
        <f>B35*D35</f>
        <v>1.2E-2</v>
      </c>
      <c r="F35" s="21" t="s">
        <v>6</v>
      </c>
      <c r="G35" s="21"/>
      <c r="H35" s="21" t="s">
        <v>6</v>
      </c>
      <c r="I35" s="21" t="s">
        <v>6</v>
      </c>
    </row>
    <row r="36" spans="1:9" x14ac:dyDescent="0.25">
      <c r="A36" s="5" t="str">
        <f>IF('入力 Inputs'!$F$1="English","Cash (Liquidity)",IF('入力 Inputs'!$F$1="日本語","現金（流動性）","現金（流動性） / Cash (Liquidity)"))</f>
        <v>Cash (Liquidity)</v>
      </c>
      <c r="B36" s="12">
        <f>'入力 Inputs'!B31</f>
        <v>0.05</v>
      </c>
      <c r="C36" s="13">
        <f>'入力 Inputs'!C31</f>
        <v>603450</v>
      </c>
      <c r="D36" s="12">
        <f>'入力 Inputs'!D31</f>
        <v>0.03</v>
      </c>
      <c r="E36" s="12">
        <f>B36*D36</f>
        <v>1.5E-3</v>
      </c>
      <c r="F36" s="21" t="s">
        <v>6</v>
      </c>
      <c r="G36" s="21"/>
      <c r="H36" s="21" t="s">
        <v>6</v>
      </c>
      <c r="I36" s="21" t="s">
        <v>6</v>
      </c>
    </row>
    <row r="37" spans="1:9" x14ac:dyDescent="0.25">
      <c r="A37" s="16" t="str">
        <f>IF('入力 Inputs'!$F$1="English","Non-Guaranteed Subtotal (25%)",IF('入力 Inputs'!$F$1="日本語","非保証商品小計（25%）","非保証商品小計（25%） / Non-Guaranteed Subtotal (25%)"))</f>
        <v>Non-Guaranteed Subtotal (25%)</v>
      </c>
      <c r="B37" s="15">
        <f>B34+B35+B36</f>
        <v>0.25</v>
      </c>
      <c r="C37" s="17">
        <f>C34+C35+C36</f>
        <v>3017250</v>
      </c>
      <c r="E37" s="15">
        <f>E34+E35+E36</f>
        <v>2.0500000000000004E-2</v>
      </c>
      <c r="F37" s="22" t="s">
        <v>6</v>
      </c>
      <c r="G37" s="22"/>
      <c r="H37" s="22" t="s">
        <v>6</v>
      </c>
      <c r="I37" s="22" t="s">
        <v>6</v>
      </c>
    </row>
    <row r="39" spans="1:9" x14ac:dyDescent="0.25">
      <c r="A39" s="3" t="str">
        <f>IF('入力 Inputs'!$F$1="English","TOTAL ALLOCATION",IF('入力 Inputs'!$F$1="日本語","配分合計","配分合計 / TOTAL ALLOCATION"))</f>
        <v>TOTAL ALLOCATION</v>
      </c>
      <c r="B39" s="23">
        <f>B31+B37</f>
        <v>1</v>
      </c>
      <c r="C39" s="24">
        <f>C31+C37</f>
        <v>12069000</v>
      </c>
      <c r="E39" s="23">
        <f>E31+E37</f>
        <v>6.2524999999999997E-2</v>
      </c>
      <c r="F39" s="24">
        <f>F31</f>
        <v>481251.375</v>
      </c>
      <c r="G39" s="24"/>
      <c r="H39" s="24">
        <f>H31</f>
        <v>457188.80624999997</v>
      </c>
      <c r="I39" s="24">
        <f>I31</f>
        <v>388320.07500000001</v>
      </c>
    </row>
    <row r="40" spans="1:9" ht="15" customHeight="1" x14ac:dyDescent="0.25">
      <c r="A40" s="248" t="s">
        <v>71</v>
      </c>
      <c r="B40" s="248"/>
      <c r="C40" s="248"/>
      <c r="D40" s="248"/>
      <c r="E40" s="248"/>
      <c r="F40" s="248"/>
      <c r="G40" s="248"/>
      <c r="H40" s="248"/>
      <c r="I40" s="248"/>
    </row>
    <row r="42" spans="1:9" ht="15" customHeight="1" x14ac:dyDescent="0.25">
      <c r="A42" s="249" t="s">
        <v>72</v>
      </c>
      <c r="B42" s="249"/>
      <c r="C42" s="249"/>
      <c r="D42" s="249"/>
      <c r="E42" s="249"/>
      <c r="F42" s="249"/>
      <c r="G42" s="249"/>
      <c r="H42" s="249"/>
      <c r="I42" s="249"/>
    </row>
    <row r="44" spans="1:9" ht="15" customHeight="1" x14ac:dyDescent="0.25">
      <c r="A44" s="245" t="str">
        <f>IF('入力 Inputs'!$F$1="English","STEP 4 — ONGOING ANNUAL FUND CHARGES",IF('入力 Inputs'!$F$1="日本語","ステップ4 — 年間ファンド手数料","ステップ4 — 年間ファンド手数料 / STEP 4 — ONGOING ANNUAL FUND CHARGES"))</f>
        <v>STEP 4 — ONGOING ANNUAL FUND CHARGES</v>
      </c>
      <c r="B44" s="246"/>
      <c r="C44" s="246"/>
      <c r="D44" s="246"/>
      <c r="E44" s="246"/>
      <c r="F44" s="246"/>
      <c r="G44" s="246"/>
      <c r="H44" s="246"/>
      <c r="I44" s="246"/>
    </row>
    <row r="45" spans="1:9" x14ac:dyDescent="0.25">
      <c r="A45" s="25" t="str">
        <f>IF('入力 Inputs'!$F$1="English","Fee Recipient",IF('入力 Inputs'!$F$1="日本語","手数料受取者","手数料受取者 / Fee Recipient"))</f>
        <v>Fee Recipient</v>
      </c>
      <c r="B45" s="25" t="s">
        <v>73</v>
      </c>
      <c r="C45" s="25"/>
      <c r="D45" s="25" t="s">
        <v>74</v>
      </c>
    </row>
    <row r="46" spans="1:9" x14ac:dyDescent="0.25">
      <c r="A46" s="5" t="str">
        <f>IF('入力 Inputs'!$F$1="English","Advantage (M&amp;E)",IF('入力 Inputs'!$F$1="日本語","Advantage（M&amp;E）","Advantage（M&amp;E） / Advantage (M&amp;E)"))</f>
        <v>Advantage (M&amp;E)</v>
      </c>
      <c r="B46" s="9">
        <f>'入力 Inputs'!B41</f>
        <v>1.5E-3</v>
      </c>
      <c r="D46" s="13">
        <f>B23*'入力 Inputs'!B41</f>
        <v>18103.5</v>
      </c>
    </row>
    <row r="47" spans="1:9" x14ac:dyDescent="0.25">
      <c r="A47" s="5" t="str">
        <f>IF('入力 Inputs'!$F$1="English","Stephen / Syndicated (Investment Advisor)",IF('入力 Inputs'!$F$1="日本語","Stephen / シンジケート（投資アドバイザー）","Stephen / シンジケート（投資アドバイザー） / Stephen / Syndicated (Investment Advisor)"))</f>
        <v>Stephen / Syndicated (Investment Advisor)</v>
      </c>
      <c r="B47" s="9">
        <f>'入力 Inputs'!B42</f>
        <v>1.5E-3</v>
      </c>
      <c r="D47" s="13">
        <f>B23*'入力 Inputs'!B42</f>
        <v>18103.5</v>
      </c>
    </row>
    <row r="48" spans="1:9" x14ac:dyDescent="0.25">
      <c r="A48" s="5" t="str">
        <f>IF('入力 Inputs'!$F$1="English","Inspira (Custodian 0.05%)",IF('入力 Inputs'!$F$1="日本語","インスピラ（保管料0.05%）","インスピラ（保管料0.05%） / Inspira (Custodian 0.05%)"))</f>
        <v>Inspira (Custodian 0.05%)</v>
      </c>
      <c r="B48" s="9">
        <f>'入力 Inputs'!B43</f>
        <v>5.0000000000000001E-4</v>
      </c>
      <c r="D48" s="13">
        <f>B23*'入力 Inputs'!B43</f>
        <v>6034.5</v>
      </c>
    </row>
    <row r="49" spans="1:9" x14ac:dyDescent="0.25">
      <c r="A49" s="260" t="str">
        <f>IF('入力 Inputs'!$F$1="English","Money Manager",IF('入力 Inputs'!$F$1="日本語","マネーマネージャー","マネーマネージャー / Money Manager"))</f>
        <v>Money Manager</v>
      </c>
      <c r="B49" s="258">
        <f>'入力 Inputs'!B44</f>
        <v>0</v>
      </c>
      <c r="D49" s="261">
        <f>B23*'入力 Inputs'!B44</f>
        <v>0</v>
      </c>
    </row>
    <row r="50" spans="1:9" x14ac:dyDescent="0.25">
      <c r="A50" s="16" t="str">
        <f>IF('入力 Inputs'!$F$1="English","Total Annual Fund Charge Rate",IF('入力 Inputs'!$F$1="日本語","年間ファンド手数料率合計","年間ファンド手数料率合計 / Total Annual Fund Charge Rate"))</f>
        <v>Total Annual Fund Charge Rate</v>
      </c>
      <c r="B50" s="18">
        <f>'入力 Inputs'!B41+'入力 Inputs'!B42+'入力 Inputs'!B43+'入力 Inputs'!B44</f>
        <v>3.5000000000000001E-3</v>
      </c>
      <c r="D50" s="17">
        <f>B23*('入力 Inputs'!B41+'入力 Inputs'!B42+'入力 Inputs'!B43+'入力 Inputs'!B44)</f>
        <v>42241.5</v>
      </c>
    </row>
    <row r="51" spans="1:9" x14ac:dyDescent="0.25">
      <c r="A51" s="5" t="str">
        <f>IF('入力 Inputs'!$F$1="English","Est. Year 1 actual fees (incl. Q1)",IF('入力 Inputs'!$F$1="日本語","推定初年度実費（Q1含む）","推定初年度実費（Q1含む） / Est. Year 1 actual fees (incl. Q1)"))</f>
        <v>Est. Year 1 actual fees (incl. Q1)</v>
      </c>
      <c r="D51" s="13">
        <f>'入力 Inputs'!B45</f>
        <v>26000</v>
      </c>
      <c r="E51" s="1" t="s">
        <v>75</v>
      </c>
    </row>
    <row r="52" spans="1:9" x14ac:dyDescent="0.25">
      <c r="A52" s="136" t="str">
        <f>IF('入力 Inputs'!$F$1="English","10-YEAR FUND CHARGE INCOME PROJECTION",IF('入力 Inputs'!$F$1="日本語","10年間ファンド手数料収入予測","10年間ファンド手数料収入予測 / 10-YEAR FUND CHARGE INCOME PROJECTION"))</f>
        <v>10-YEAR FUND CHARGE INCOME PROJECTION</v>
      </c>
      <c r="B52" s="35"/>
      <c r="C52" s="35"/>
      <c r="D52" s="35"/>
      <c r="E52" s="35"/>
      <c r="F52" s="35"/>
      <c r="G52" s="35"/>
      <c r="H52" s="35"/>
      <c r="I52" s="35"/>
    </row>
    <row r="53" spans="1:9" x14ac:dyDescent="0.25">
      <c r="A53" s="143" t="str">
        <f>IF('入力 Inputs'!$F$1="English","Year",IF('入力 Inputs'!$F$1="日本語","年","年 / Year"))</f>
        <v>Year</v>
      </c>
      <c r="B53" s="144" t="s">
        <v>87</v>
      </c>
      <c r="C53" s="144" t="s">
        <v>88</v>
      </c>
      <c r="D53" s="144" t="s">
        <v>13</v>
      </c>
      <c r="E53" s="144" t="s">
        <v>89</v>
      </c>
      <c r="F53" s="144" t="s">
        <v>15</v>
      </c>
      <c r="G53" s="275" t="s">
        <v>140</v>
      </c>
      <c r="H53" s="144" t="s">
        <v>90</v>
      </c>
      <c r="I53" s="144" t="s">
        <v>91</v>
      </c>
    </row>
    <row r="54" spans="1:9" x14ac:dyDescent="0.25">
      <c r="A54" s="137">
        <v>1</v>
      </c>
      <c r="B54" s="103">
        <f>B23</f>
        <v>12069000</v>
      </c>
      <c r="C54" s="120">
        <f>'入力 Inputs'!$B$51</f>
        <v>6.2524999999999997E-2</v>
      </c>
      <c r="D54" s="103">
        <f>B54*'入力 Inputs'!$B$41</f>
        <v>18103.5</v>
      </c>
      <c r="E54" s="103">
        <f>B54*'入力 Inputs'!$B$42</f>
        <v>18103.5</v>
      </c>
      <c r="F54" s="103">
        <f>B54*'入力 Inputs'!$B$43</f>
        <v>6034.5</v>
      </c>
      <c r="G54" s="276">
        <f>B54*'入力 Inputs'!$B$44</f>
        <v>0</v>
      </c>
      <c r="H54" s="132">
        <f>D54+E54+F54+G54</f>
        <v>42241.5</v>
      </c>
      <c r="I54" s="103">
        <f>H54</f>
        <v>42241.5</v>
      </c>
    </row>
    <row r="55" spans="1:9" x14ac:dyDescent="0.25">
      <c r="A55" s="137">
        <v>2</v>
      </c>
      <c r="B55" s="103">
        <f t="shared" ref="B55:B63" si="0">B54*(1+C54)</f>
        <v>12823614.225</v>
      </c>
      <c r="C55" s="120">
        <f>'入力 Inputs'!$B$51</f>
        <v>6.2524999999999997E-2</v>
      </c>
      <c r="D55" s="103">
        <f>B55*'入力 Inputs'!$B$41</f>
        <v>19235.4213375</v>
      </c>
      <c r="E55" s="103">
        <f>B55*'入力 Inputs'!$B$42</f>
        <v>19235.4213375</v>
      </c>
      <c r="F55" s="103">
        <f>B55*'入力 Inputs'!$B$43</f>
        <v>6411.8071124999997</v>
      </c>
      <c r="G55" s="276">
        <f>B55*'入力 Inputs'!$B$44</f>
        <v>0</v>
      </c>
      <c r="H55" s="132">
        <f t="shared" ref="H55:H63" si="1">D55+E55+F55+G55</f>
        <v>44882.649787499999</v>
      </c>
      <c r="I55" s="103">
        <f t="shared" ref="I55:I63" si="2">I54+H55</f>
        <v>87124.149787500006</v>
      </c>
    </row>
    <row r="56" spans="1:9" x14ac:dyDescent="0.25">
      <c r="A56" s="137">
        <v>3</v>
      </c>
      <c r="B56" s="103">
        <f t="shared" si="0"/>
        <v>13625410.704418125</v>
      </c>
      <c r="C56" s="120">
        <f>'入力 Inputs'!$B$51</f>
        <v>6.2524999999999997E-2</v>
      </c>
      <c r="D56" s="103">
        <f>B56*'入力 Inputs'!$B$41</f>
        <v>20438.116056627186</v>
      </c>
      <c r="E56" s="103">
        <f>B56*'入力 Inputs'!$B$42</f>
        <v>20438.116056627186</v>
      </c>
      <c r="F56" s="103">
        <f>B56*'入力 Inputs'!$B$43</f>
        <v>6812.7053522090628</v>
      </c>
      <c r="G56" s="276">
        <f>B56*'入力 Inputs'!$B$44</f>
        <v>0</v>
      </c>
      <c r="H56" s="132">
        <f t="shared" si="1"/>
        <v>47688.937465463438</v>
      </c>
      <c r="I56" s="103">
        <f t="shared" si="2"/>
        <v>134813.08725296345</v>
      </c>
    </row>
    <row r="57" spans="1:9" x14ac:dyDescent="0.25">
      <c r="A57" s="137">
        <v>4</v>
      </c>
      <c r="B57" s="103">
        <f t="shared" si="0"/>
        <v>14477339.508711867</v>
      </c>
      <c r="C57" s="120">
        <f>'入力 Inputs'!$B$51</f>
        <v>6.2524999999999997E-2</v>
      </c>
      <c r="D57" s="103">
        <f>B57*'入力 Inputs'!$B$41</f>
        <v>21716.009263067801</v>
      </c>
      <c r="E57" s="103">
        <f>B57*'入力 Inputs'!$B$42</f>
        <v>21716.009263067801</v>
      </c>
      <c r="F57" s="103">
        <f>B57*'入力 Inputs'!$B$43</f>
        <v>7238.6697543559339</v>
      </c>
      <c r="G57" s="276">
        <f>B57*'入力 Inputs'!$B$44</f>
        <v>0</v>
      </c>
      <c r="H57" s="132">
        <f t="shared" si="1"/>
        <v>50670.688280491537</v>
      </c>
      <c r="I57" s="103">
        <f t="shared" si="2"/>
        <v>185483.77553345499</v>
      </c>
    </row>
    <row r="58" spans="1:9" x14ac:dyDescent="0.25">
      <c r="A58" s="137">
        <v>5</v>
      </c>
      <c r="B58" s="103">
        <f t="shared" si="0"/>
        <v>15382535.161494076</v>
      </c>
      <c r="C58" s="120">
        <f>'入力 Inputs'!$B$51</f>
        <v>6.2524999999999997E-2</v>
      </c>
      <c r="D58" s="103">
        <f>B58*'入力 Inputs'!$B$41</f>
        <v>23073.802742241114</v>
      </c>
      <c r="E58" s="103">
        <f>B58*'入力 Inputs'!$B$42</f>
        <v>23073.802742241114</v>
      </c>
      <c r="F58" s="103">
        <f>B58*'入力 Inputs'!$B$43</f>
        <v>7691.2675807470387</v>
      </c>
      <c r="G58" s="276">
        <f>B58*'入力 Inputs'!$B$44</f>
        <v>0</v>
      </c>
      <c r="H58" s="132">
        <f t="shared" si="1"/>
        <v>53838.873065229265</v>
      </c>
      <c r="I58" s="103">
        <f t="shared" si="2"/>
        <v>239322.64859868426</v>
      </c>
    </row>
    <row r="59" spans="1:9" x14ac:dyDescent="0.25">
      <c r="A59" s="137">
        <v>6</v>
      </c>
      <c r="B59" s="103">
        <f t="shared" si="0"/>
        <v>16344328.172466492</v>
      </c>
      <c r="C59" s="120">
        <f>'入力 Inputs'!$B$51</f>
        <v>6.2524999999999997E-2</v>
      </c>
      <c r="D59" s="103">
        <f>B59*'入力 Inputs'!$B$41</f>
        <v>24516.492258699738</v>
      </c>
      <c r="E59" s="103">
        <f>B59*'入力 Inputs'!$B$42</f>
        <v>24516.492258699738</v>
      </c>
      <c r="F59" s="103">
        <f>B59*'入力 Inputs'!$B$43</f>
        <v>8172.1640862332461</v>
      </c>
      <c r="G59" s="276">
        <f>B59*'入力 Inputs'!$B$44</f>
        <v>0</v>
      </c>
      <c r="H59" s="132">
        <f t="shared" si="1"/>
        <v>57205.148603632726</v>
      </c>
      <c r="I59" s="103">
        <f t="shared" si="2"/>
        <v>296527.79720231699</v>
      </c>
    </row>
    <row r="60" spans="1:9" x14ac:dyDescent="0.25">
      <c r="A60" s="137">
        <v>7</v>
      </c>
      <c r="B60" s="103">
        <f t="shared" si="0"/>
        <v>17366257.29144996</v>
      </c>
      <c r="C60" s="120">
        <f>'入力 Inputs'!$B$51</f>
        <v>6.2524999999999997E-2</v>
      </c>
      <c r="D60" s="103">
        <f>B60*'入力 Inputs'!$B$41</f>
        <v>26049.385937174942</v>
      </c>
      <c r="E60" s="103">
        <f>B60*'入力 Inputs'!$B$42</f>
        <v>26049.385937174942</v>
      </c>
      <c r="F60" s="103">
        <f>B60*'入力 Inputs'!$B$43</f>
        <v>8683.1286457249807</v>
      </c>
      <c r="G60" s="276">
        <f>B60*'入力 Inputs'!$B$44</f>
        <v>0</v>
      </c>
      <c r="H60" s="132">
        <f t="shared" si="1"/>
        <v>60781.900520074865</v>
      </c>
      <c r="I60" s="103">
        <f t="shared" si="2"/>
        <v>357309.69772239187</v>
      </c>
    </row>
    <row r="61" spans="1:9" x14ac:dyDescent="0.25">
      <c r="A61" s="137">
        <v>8</v>
      </c>
      <c r="B61" s="103">
        <f t="shared" si="0"/>
        <v>18452082.528597869</v>
      </c>
      <c r="C61" s="120">
        <f>'入力 Inputs'!$B$51</f>
        <v>6.2524999999999997E-2</v>
      </c>
      <c r="D61" s="103">
        <f>B61*'入力 Inputs'!$B$41</f>
        <v>27678.123792896804</v>
      </c>
      <c r="E61" s="103">
        <f>B61*'入力 Inputs'!$B$42</f>
        <v>27678.123792896804</v>
      </c>
      <c r="F61" s="103">
        <f>B61*'入力 Inputs'!$B$43</f>
        <v>9226.041264298934</v>
      </c>
      <c r="G61" s="276">
        <f>B61*'入力 Inputs'!$B$44</f>
        <v>0</v>
      </c>
      <c r="H61" s="132">
        <f t="shared" si="1"/>
        <v>64582.28885009254</v>
      </c>
      <c r="I61" s="103">
        <f t="shared" si="2"/>
        <v>421891.98657248443</v>
      </c>
    </row>
    <row r="62" spans="1:9" x14ac:dyDescent="0.25">
      <c r="A62" s="137">
        <v>9</v>
      </c>
      <c r="B62" s="103">
        <f t="shared" si="0"/>
        <v>19605798.988698449</v>
      </c>
      <c r="C62" s="120">
        <f>'入力 Inputs'!$B$51</f>
        <v>6.2524999999999997E-2</v>
      </c>
      <c r="D62" s="103">
        <f>B62*'入力 Inputs'!$B$41</f>
        <v>29408.698483047676</v>
      </c>
      <c r="E62" s="103">
        <f>B62*'入力 Inputs'!$B$42</f>
        <v>29408.698483047676</v>
      </c>
      <c r="F62" s="103">
        <f>B62*'入力 Inputs'!$B$43</f>
        <v>9802.8994943492253</v>
      </c>
      <c r="G62" s="276">
        <f>B62*'入力 Inputs'!$B$44</f>
        <v>0</v>
      </c>
      <c r="H62" s="132">
        <f t="shared" si="1"/>
        <v>68620.296460444573</v>
      </c>
      <c r="I62" s="103">
        <f t="shared" si="2"/>
        <v>490512.283032929</v>
      </c>
    </row>
    <row r="63" spans="1:9" x14ac:dyDescent="0.25">
      <c r="A63" s="137">
        <v>10</v>
      </c>
      <c r="B63" s="103">
        <f t="shared" si="0"/>
        <v>20831651.57046682</v>
      </c>
      <c r="C63" s="120">
        <f>'入力 Inputs'!$B$51</f>
        <v>6.2524999999999997E-2</v>
      </c>
      <c r="D63" s="103">
        <f>B63*'入力 Inputs'!$B$41</f>
        <v>31247.47735570023</v>
      </c>
      <c r="E63" s="103">
        <f>B63*'入力 Inputs'!$B$42</f>
        <v>31247.47735570023</v>
      </c>
      <c r="F63" s="103">
        <f>B63*'入力 Inputs'!$B$43</f>
        <v>10415.82578523341</v>
      </c>
      <c r="G63" s="276">
        <f>B63*'入力 Inputs'!$B$44</f>
        <v>0</v>
      </c>
      <c r="H63" s="132">
        <f t="shared" si="1"/>
        <v>72910.780496633874</v>
      </c>
      <c r="I63" s="103">
        <f t="shared" si="2"/>
        <v>563423.0635295629</v>
      </c>
    </row>
    <row r="64" spans="1:9" x14ac:dyDescent="0.25">
      <c r="A64" s="138" t="str">
        <f>IF('入力 Inputs'!$F$1="English","TOTAL 10-YEAR",IF('入力 Inputs'!$F$1="日本語","10年間合計","10年間合計 / TOTAL 10-YEAR"))</f>
        <v>TOTAL 10-YEAR</v>
      </c>
      <c r="B64" s="121"/>
      <c r="C64" s="121"/>
      <c r="D64" s="139">
        <f>SUM(D54:D63)</f>
        <v>241467.02722695548</v>
      </c>
      <c r="E64" s="139">
        <f>SUM(E54:E63)</f>
        <v>241467.02722695548</v>
      </c>
      <c r="F64" s="139">
        <f>SUM(F54:F63)</f>
        <v>80489.009075651818</v>
      </c>
      <c r="G64" s="161">
        <f>SUM(G54:G63)</f>
        <v>0</v>
      </c>
      <c r="H64" s="139">
        <f>SUM(H54:H63)</f>
        <v>563423.0635295629</v>
      </c>
      <c r="I64" s="139">
        <f>I63</f>
        <v>563423.0635295629</v>
      </c>
    </row>
    <row r="67" spans="1:9" ht="15" customHeight="1" x14ac:dyDescent="0.25">
      <c r="A67" s="247" t="str">
        <f>IF('入力 Inputs'!$F$1="English","DEAL SUMMARY",IF('入力 Inputs'!$F$1="日本語","取引概要","取引概要 / DEAL SUMMARY"))</f>
        <v>DEAL SUMMARY</v>
      </c>
      <c r="B67" s="247"/>
      <c r="C67" s="247"/>
      <c r="D67" s="247"/>
      <c r="E67" s="247"/>
      <c r="F67" s="247"/>
      <c r="G67" s="247"/>
      <c r="H67" s="247"/>
      <c r="I67" s="247"/>
    </row>
    <row r="68" spans="1:9" x14ac:dyDescent="0.25">
      <c r="A68" s="26" t="str">
        <f>IF('入力 Inputs'!$F$1="English","Total Deposit",IF('入力 Inputs'!$F$1="日本語","預入総額","預入総額 / Total Deposit"))</f>
        <v>Total Deposit</v>
      </c>
      <c r="B68" s="27">
        <f>'入力 Inputs'!B7</f>
        <v>13000000</v>
      </c>
    </row>
    <row r="69" spans="1:9" x14ac:dyDescent="0.25">
      <c r="A69" s="26" t="str">
        <f>IF('入力 Inputs'!$F$1="English","Less: Premium Load (7%)",IF('入力 Inputs'!$F$1="日本語","差引：プレミアムロード（7%）","差引：プレミアムロード（7%） / Less: Premium Load (7%)"))</f>
        <v>Less: Premium Load (7%)</v>
      </c>
      <c r="B69" s="27">
        <f>-B8</f>
        <v>-910000</v>
      </c>
    </row>
    <row r="70" spans="1:9" x14ac:dyDescent="0.25">
      <c r="A70" s="26" t="str">
        <f>IF('入力 Inputs'!$F$1="English","Less: Admin &amp; Bank Fees",IF('入力 Inputs'!$F$1="日本語","差引：管理・銀行手数料","差引：管理・銀行手数料 / Less: Admin &amp; Bank Fees"))</f>
        <v>Less: Admin &amp; Bank Fees</v>
      </c>
      <c r="B70" s="27">
        <f>-B21</f>
        <v>-21000</v>
      </c>
    </row>
    <row r="71" spans="1:9" x14ac:dyDescent="0.25">
      <c r="A71" s="28" t="str">
        <f>IF('入力 Inputs'!$F$1="English","Net Wired to Inspira",IF('入力 Inputs'!$F$1="日本語","インスピラへの正味送金額","インスピラへの正味送金額 / Net Wired to Inspira"))</f>
        <v>Net Wired to Inspira</v>
      </c>
      <c r="B71" s="29">
        <f>B23</f>
        <v>12069000</v>
      </c>
    </row>
    <row r="73" spans="1:9" x14ac:dyDescent="0.25">
      <c r="A73" s="26" t="str">
        <f>IF('入力 Inputs'!$F$1="English","Guaranteed Products (75%)",IF('入力 Inputs'!$F$1="日本語","保証商品（75%）","保証商品（75%） / Guaranteed Products (75%)"))</f>
        <v>Guaranteed Products (75%)</v>
      </c>
      <c r="B73" s="27">
        <f>C31</f>
        <v>9051750</v>
      </c>
    </row>
    <row r="74" spans="1:9" x14ac:dyDescent="0.25">
      <c r="A74" s="26" t="str">
        <f>IF('入力 Inputs'!$F$1="English","Non-Guaranteed (25%)",IF('入力 Inputs'!$F$1="日本語","非保証商品（25%）","非保証商品（25%） / Non-Guaranteed (25%)"))</f>
        <v>Non-Guaranteed (25%)</v>
      </c>
      <c r="B74" s="27">
        <f>C37</f>
        <v>3017250</v>
      </c>
    </row>
    <row r="75" spans="1:9" x14ac:dyDescent="0.25">
      <c r="A75" s="26" t="str">
        <f>IF('入力 Inputs'!$F$1="English","Gross Weighted Return",IF('入力 Inputs'!$F$1="日本語","加重グロスリターン","加重グロスリターン / Gross Weighted Return"))</f>
        <v>Gross Weighted Return</v>
      </c>
      <c r="B75" s="30">
        <f>E39</f>
        <v>6.2524999999999997E-2</v>
      </c>
    </row>
    <row r="77" spans="1:9" x14ac:dyDescent="0.25">
      <c r="A77" s="26" t="str">
        <f>IF('入力 Inputs'!$F$1="English","Marketing Allowance — OGA Rate",IF('入力 Inputs'!$F$1="日本語","マーケティング手当 — OGA率","マーケティング手当 — OGA率 / Marketing Allowance — OGA Rate"))</f>
        <v>Marketing Allowance — OGA Rate</v>
      </c>
      <c r="B77" s="27">
        <f>F39</f>
        <v>481251.375</v>
      </c>
    </row>
    <row r="78" spans="1:9" x14ac:dyDescent="0.25">
      <c r="A78" s="84" t="str">
        <f>IF('入力 Inputs'!$F$1="English","Marketing Allowance — Processor Rate",IF('入力 Inputs'!$F$1="日本語","マーケティング手当 — プロセッサー率","マーケティング手当 — プロセッサー率 / Marketing Allowance — Processor Rate"))</f>
        <v>Marketing Allowance — Processor Rate</v>
      </c>
      <c r="B78" s="27">
        <f>H31</f>
        <v>457188.80624999997</v>
      </c>
    </row>
    <row r="79" spans="1:9" x14ac:dyDescent="0.25">
      <c r="A79" s="26" t="str">
        <f>IF('入力 Inputs'!$F$1="English","Marketing Allowance — Regional Rate",IF('入力 Inputs'!$F$1="日本語","マーケティング手当 — リージョナル率","マーケティング手当 — リージョナル率 / Marketing Allowance — Regional Rate"))</f>
        <v>Marketing Allowance — Regional Rate</v>
      </c>
      <c r="B79" s="27">
        <f>I39</f>
        <v>388320.07500000001</v>
      </c>
    </row>
    <row r="81" spans="1:2" x14ac:dyDescent="0.25">
      <c r="A81" s="26" t="str">
        <f>IF('入力 Inputs'!$F$1="English","Annual Fund Charge Rate (total)",IF('入力 Inputs'!$F$1="日本語","年間ファンド手数料率（合計）","年間ファンド手数料率（合計） / Annual Fund Charge Rate (total)"))</f>
        <v>Annual Fund Charge Rate (total)</v>
      </c>
      <c r="B81" s="31">
        <f>'入力 Inputs'!B41+'入力 Inputs'!B42+'入力 Inputs'!B43+'入力 Inputs'!B44</f>
        <v>3.5000000000000001E-3</v>
      </c>
    </row>
    <row r="82" spans="1:2" x14ac:dyDescent="0.25">
      <c r="A82" s="26" t="str">
        <f>IF('入力 Inputs'!$F$1="English","Est. Year 1 Fees",IF('入力 Inputs'!$F$1="日本語","推定初年度手数料","推定初年度手数料 / Est. Year 1 Fees"))</f>
        <v>Est. Year 1 Fees</v>
      </c>
      <c r="B82" s="27">
        <f>'入力 Inputs'!B45</f>
        <v>26000</v>
      </c>
    </row>
    <row r="83" spans="1:2" x14ac:dyDescent="0.25">
      <c r="A83" s="140" t="str">
        <f>IF('入力 Inputs'!$F$1="English","5-Year Cumulative Fund Charges",IF('入力 Inputs'!$F$1="日本語","5年累積ファンド手数料","5年累積ファンド手数料 / 5-Year Cumulative Fund Charges"))</f>
        <v>5-Year Cumulative Fund Charges</v>
      </c>
      <c r="B83" s="141">
        <f>I58</f>
        <v>239322.64859868426</v>
      </c>
    </row>
    <row r="84" spans="1:2" x14ac:dyDescent="0.25">
      <c r="A84" s="142" t="str">
        <f>IF('入力 Inputs'!$F$1="English","10-Year Cumulative Fund Charges",IF('入力 Inputs'!$F$1="日本語","10年累積ファンド手数料","10年累積ファンド手数料 / 10-Year Cumulative Fund Charges"))</f>
        <v>10-Year Cumulative Fund Charges</v>
      </c>
      <c r="B84" s="139">
        <f>I63</f>
        <v>563423.0635295629</v>
      </c>
    </row>
  </sheetData>
  <mergeCells count="12">
    <mergeCell ref="A1:I1"/>
    <mergeCell ref="A2:I2"/>
    <mergeCell ref="A4:I4"/>
    <mergeCell ref="A10:I10"/>
    <mergeCell ref="A18:I18"/>
    <mergeCell ref="A44:I44"/>
    <mergeCell ref="A67:I67"/>
    <mergeCell ref="A25:I25"/>
    <mergeCell ref="A27:I27"/>
    <mergeCell ref="A33:I33"/>
    <mergeCell ref="A40:I40"/>
    <mergeCell ref="A42:I4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38B6-AAE6-47BC-AF28-A252CBF074F1}">
  <dimension ref="A1:Q133"/>
  <sheetViews>
    <sheetView topLeftCell="A12" workbookViewId="0">
      <selection activeCell="C6" sqref="C6"/>
    </sheetView>
  </sheetViews>
  <sheetFormatPr defaultRowHeight="15" x14ac:dyDescent="0.25"/>
  <cols>
    <col min="1" max="2" width="9.5703125" customWidth="1"/>
    <col min="3" max="13" width="26.7109375" customWidth="1"/>
  </cols>
  <sheetData>
    <row r="1" spans="1:17" ht="18" x14ac:dyDescent="0.25">
      <c r="A1" s="162" t="str">
        <f>IF('入力 Inputs'!$F$1="English","PPVA CARRIER ILLUSTRATION",IF('入力 Inputs'!$F$1="日本語","PPVAキャリアイラストレーション","PPVAキャリアイラストレーション / PPVA CARRIER ILLUSTRATION"))</f>
        <v>PPVA CARRIER ILLUSTRATION</v>
      </c>
    </row>
    <row r="2" spans="1:17" x14ac:dyDescent="0.25">
      <c r="A2" s="4" t="str">
        <f>IF('入力 Inputs'!$F$1="English","All values pull from Inputs. Fund value at 3 illustrated rates.",IF('入力 Inputs'!$F$1="日本語","全ての値は入力シートから取得。3つの例示率でファンド価値を表示","全ての値は入力シートから取得。3つの例示率でファンド価値を表示 / All values pull from Inputs. Fund value at 3 illustrated rates."))</f>
        <v>All values pull from Inputs. Fund value at 3 illustrated rates.</v>
      </c>
    </row>
    <row r="4" spans="1:17" x14ac:dyDescent="0.25">
      <c r="A4" s="163" t="str">
        <f>IF('入力 Inputs'!$F$1="English","Year",IF('入力 Inputs'!$F$1="日本語","年","年 / Year"))</f>
        <v>Year</v>
      </c>
      <c r="B4" s="163" t="str">
        <f>IF('入力 Inputs'!$F$1="English","Age",IF('入力 Inputs'!$F$1="日本語","年齢","年齢 / Age"))</f>
        <v>Age</v>
      </c>
      <c r="C4" s="163" t="str">
        <f>IF('入力 Inputs'!$F$1="English","Net Deposit",IF('入力 Inputs'!$F$1="日本語","正味預入額","正味預入額 / Net Deposit"))</f>
        <v>Net Deposit</v>
      </c>
      <c r="D4" s="164" t="str">
        <f>IF('入力 Inputs'!$F$1="English","Fund Value ("&amp;TEXT('入力 Inputs'!B83,"0.0%")&amp;")",IF('入力 Inputs'!$F$1="日本語","ファンド価値（"&amp;TEXT('入力 Inputs'!B83,"0.0%")&amp;"）","ファンド価値 / Fund Value ("&amp;TEXT('入力 Inputs'!B83,"0.0%")&amp;")"))</f>
        <v>Fund Value (6.3%)</v>
      </c>
      <c r="E4" s="164" t="str">
        <f>IF('入力 Inputs'!$F$1="English","Surrender Value ("&amp;TEXT('入力 Inputs'!B83,"0.0%")&amp;")",IF('入力 Inputs'!$F$1="日本語","解約返戻金（"&amp;TEXT('入力 Inputs'!B83,"0.0%")&amp;"）","解約返戻金 / Surrender Value ("&amp;TEXT('入力 Inputs'!B83,"0.0%")&amp;")"))</f>
        <v>Surrender Value (6.3%)</v>
      </c>
      <c r="F4" s="164" t="str">
        <f>IF('入力 Inputs'!$F$1="English","Death Benefit ("&amp;TEXT('入力 Inputs'!B83,"0.0%")&amp;")",IF('入力 Inputs'!$F$1="日本語","死亡保険金（"&amp;TEXT('入力 Inputs'!B83,"0.0%")&amp;"）","死亡保険金 / Death Benefit ("&amp;TEXT('入力 Inputs'!B83,"0.0%")&amp;")"))</f>
        <v>Death Benefit (6.3%)</v>
      </c>
      <c r="G4" s="165" t="str">
        <f>IF('入力 Inputs'!$F$1="English","Fund Value ("&amp;TEXT('入力 Inputs'!B84,"0.0%")&amp;")",IF('入力 Inputs'!$F$1="日本語","ファンド価値（"&amp;TEXT('入力 Inputs'!B84,"0.0%")&amp;"）","ファンド価値 / Fund Value ("&amp;TEXT('入力 Inputs'!B84,"0.0%")&amp;")"))</f>
        <v>Fund Value (6.5%)</v>
      </c>
      <c r="H4" s="165" t="str">
        <f>IF('入力 Inputs'!$F$1="English","Surrender Value ("&amp;TEXT('入力 Inputs'!B84,"0.0%")&amp;")",IF('入力 Inputs'!$F$1="日本語","解約返戻金（"&amp;TEXT('入力 Inputs'!B84,"0.0%")&amp;"）","解約返戻金 / Surrender Value ("&amp;TEXT('入力 Inputs'!B84,"0.0%")&amp;")"))</f>
        <v>Surrender Value (6.5%)</v>
      </c>
      <c r="I4" s="165" t="str">
        <f>IF('入力 Inputs'!$F$1="English","Death Benefit ("&amp;TEXT('入力 Inputs'!B84,"0.0%")&amp;")",IF('入力 Inputs'!$F$1="日本語","死亡保険金（"&amp;TEXT('入力 Inputs'!B84,"0.0%")&amp;"）","死亡保険金 / Death Benefit ("&amp;TEXT('入力 Inputs'!B84,"0.0%")&amp;")"))</f>
        <v>Death Benefit (6.5%)</v>
      </c>
      <c r="J4" s="166" t="str">
        <f>IF('入力 Inputs'!$F$1="English","Fund Value ("&amp;TEXT('入力 Inputs'!B85,"0.0%")&amp;")",IF('入力 Inputs'!$F$1="日本語","ファンド価値（"&amp;TEXT('入力 Inputs'!B85,"0.0%")&amp;"）","ファンド価値 / Fund Value ("&amp;TEXT('入力 Inputs'!B85,"0.0%")&amp;")"))</f>
        <v>Fund Value (7.0%)</v>
      </c>
      <c r="K4" s="166" t="str">
        <f>IF('入力 Inputs'!$F$1="English","Surrender Value ("&amp;TEXT('入力 Inputs'!B85,"0.0%")&amp;")",IF('入力 Inputs'!$F$1="日本語","解約返戻金（"&amp;TEXT('入力 Inputs'!B85,"0.0%")&amp;"）","解約返戻金 / Surrender Value ("&amp;TEXT('入力 Inputs'!B85,"0.0%")&amp;")"))</f>
        <v>Surrender Value (7.0%)</v>
      </c>
      <c r="L4" s="166" t="str">
        <f>IF('入力 Inputs'!$F$1="English","Death Benefit ("&amp;TEXT('入力 Inputs'!B85,"0.0%")&amp;")",IF('入力 Inputs'!$F$1="日本語","死亡保険金（"&amp;TEXT('入力 Inputs'!B85,"0.0%")&amp;"）","死亡保険金 / Death Benefit ("&amp;TEXT('入力 Inputs'!B85,"0.0%")&amp;")"))</f>
        <v>Death Benefit (7.0%)</v>
      </c>
      <c r="M4" s="210" t="str">
        <f>IF('入力 Inputs'!$F$1="English","Fund Value JPY (Base)",IF('入力 Inputs'!$F$1="日本語","ファンド価値・円（基準）","ファンド価値・円（基準） / Fund Value JPY (Base)"))</f>
        <v>Fund Value JPY (Base)</v>
      </c>
      <c r="N4" s="183" t="s">
        <v>26</v>
      </c>
      <c r="O4" s="183" t="str">
        <f>"Base ("&amp;TEXT('入力 Inputs'!B83,"0.0%")&amp;")"</f>
        <v>Base (6.3%)</v>
      </c>
      <c r="P4" s="184" t="str">
        <f>"Alt 1 ("&amp;TEXT('入力 Inputs'!B84,"0.0%")&amp;")"</f>
        <v>Alt 1 (6.5%)</v>
      </c>
      <c r="Q4" s="184" t="str">
        <f>"Alt 2 ("&amp;TEXT('入力 Inputs'!B85,"0.0%")&amp;")"</f>
        <v>Alt 2 (7.0%)</v>
      </c>
    </row>
    <row r="5" spans="1:17" x14ac:dyDescent="0.25">
      <c r="A5" s="186">
        <f>IF(1&lt;='入力 Inputs'!$B$86,1,"")</f>
        <v>1</v>
      </c>
      <c r="B5" s="187">
        <f>IF(A5="","",'入力 Inputs'!$B$55+A5)</f>
        <v>47</v>
      </c>
      <c r="C5" s="43">
        <f>IF(A5="","",'入力 Inputs'!B7)</f>
        <v>13000000</v>
      </c>
      <c r="D5" s="43">
        <f>IF(A5="","",('入力 Inputs'!B87-'入力 Inputs'!B87*'入力 Inputs'!B41-'入力 Inputs'!B57)*(1+'入力 Inputs'!B83))</f>
        <v>12826532.375535749</v>
      </c>
      <c r="E5" s="43" cm="1">
        <f t="array" ref="E5">IF(A5="","",IF(A5&lt;=10,D5*(1-INDEX('入力 Inputs'!$B$71:$B$80,A5)),D5))</f>
        <v>641326.618776788</v>
      </c>
      <c r="F5" s="43">
        <f t="shared" ref="F5:F36" si="0">IF(A5="","",D5)</f>
        <v>12826532.375535749</v>
      </c>
      <c r="G5" s="43">
        <f>IF(A5="","",('入力 Inputs'!B87-'入力 Inputs'!B87*'入力 Inputs'!B41-'入力 Inputs'!B57)*(1+'入力 Inputs'!B84))</f>
        <v>12856409.94795</v>
      </c>
      <c r="H5" s="43" cm="1">
        <f t="array" ref="H5">IF(A5="","",IF(A5&lt;=10,G5*(1-INDEX('入力 Inputs'!$B$71:$B$80,A5)),G5))</f>
        <v>642820.49739750056</v>
      </c>
      <c r="I5" s="43">
        <f t="shared" ref="I5:I36" si="1">IF(A5="","",G5)</f>
        <v>12856409.94795</v>
      </c>
      <c r="J5" s="43">
        <f>IF(A5="","",('入力 Inputs'!B87-'入力 Inputs'!B87*'入力 Inputs'!B41-'入力 Inputs'!B57)*(1+'入力 Inputs'!B85))</f>
        <v>12916768.6801</v>
      </c>
      <c r="K5" s="43" cm="1">
        <f t="array" ref="K5">IF(A5="","",IF(A5&lt;=10,J5*(1-INDEX('入力 Inputs'!$B$71:$B$80,A5)),J5))</f>
        <v>645838.43400500051</v>
      </c>
      <c r="L5" s="43">
        <f t="shared" ref="L5:L36" si="2">IF(A5="","",J5)</f>
        <v>12916768.6801</v>
      </c>
      <c r="M5" s="170">
        <f>IF(A5="","",D5*'入力 Inputs'!$B$64)</f>
        <v>2052245180.0857198</v>
      </c>
      <c r="N5">
        <f t="shared" ref="N5:N36" si="3">A5</f>
        <v>1</v>
      </c>
      <c r="O5">
        <f t="shared" ref="O5:O36" si="4">IF(A5="","",D5)</f>
        <v>12826532.375535749</v>
      </c>
      <c r="P5">
        <f t="shared" ref="P5:P36" si="5">IF(A5="","",G5)</f>
        <v>12856409.94795</v>
      </c>
      <c r="Q5">
        <f t="shared" ref="Q5:Q36" si="6">IF(A5="","",J5)</f>
        <v>12916768.6801</v>
      </c>
    </row>
    <row r="6" spans="1:17" x14ac:dyDescent="0.25">
      <c r="A6" s="186">
        <f>IF(2&lt;='入力 Inputs'!$B$86,2,"")</f>
        <v>2</v>
      </c>
      <c r="B6" s="187">
        <f>IF(A6="","",'入力 Inputs'!$B$55+A6)</f>
        <v>48</v>
      </c>
      <c r="C6" s="43">
        <f t="shared" ref="C6:C37" si="7">IF(A6="","",0)</f>
        <v>0</v>
      </c>
      <c r="D6" s="43">
        <f>IF(A6="","",(D5-D5*'入力 Inputs'!$B$41-'入力 Inputs'!$B$57*(1+'入力 Inputs'!$B$91)^(2-1))*(1+'入力 Inputs'!$B$83))</f>
        <v>13607938.782250719</v>
      </c>
      <c r="E6" s="43" cm="1">
        <f t="array" ref="E6">IF(A6="","",IF(A6&lt;=10,D6*(1-INDEX('入力 Inputs'!$B$71:$B$80,A6)),D6))</f>
        <v>1360793.8782250716</v>
      </c>
      <c r="F6" s="43">
        <f t="shared" si="0"/>
        <v>13607938.782250719</v>
      </c>
      <c r="G6" s="43">
        <f>IF(A6="","",(G5-G5*'入力 Inputs'!$B$41-'入力 Inputs'!$B$57*(1+'入力 Inputs'!$B$91)^(2-1))*(1+'入力 Inputs'!$B$84))</f>
        <v>13671408.414313398</v>
      </c>
      <c r="H6" s="43" cm="1">
        <f t="array" ref="H6">IF(A6="","",IF(A6&lt;=10,G6*(1-INDEX('入力 Inputs'!$B$71:$B$80,A6)),G6))</f>
        <v>1367140.8414313395</v>
      </c>
      <c r="I6" s="43">
        <f t="shared" si="1"/>
        <v>13671408.414313398</v>
      </c>
      <c r="J6" s="43">
        <f>IF(A6="","",(J5-J5*'入力 Inputs'!$B$41-'入力 Inputs'!$B$57*(1+'入力 Inputs'!$B$91)^(2-1))*(1+'入力 Inputs'!$B$85))</f>
        <v>13800080.39797844</v>
      </c>
      <c r="K6" s="43" cm="1">
        <f t="array" ref="K6">IF(A6="","",IF(A6&lt;=10,J6*(1-INDEX('入力 Inputs'!$B$71:$B$80,A6)),J6))</f>
        <v>1380008.0397978437</v>
      </c>
      <c r="L6" s="43">
        <f t="shared" si="2"/>
        <v>13800080.39797844</v>
      </c>
      <c r="M6" s="170">
        <f>IF(A6="","",D6*'入力 Inputs'!$B$64)</f>
        <v>2177270205.1601152</v>
      </c>
      <c r="N6">
        <f t="shared" si="3"/>
        <v>2</v>
      </c>
      <c r="O6">
        <f t="shared" si="4"/>
        <v>13607938.782250719</v>
      </c>
      <c r="P6">
        <f t="shared" si="5"/>
        <v>13671408.414313398</v>
      </c>
      <c r="Q6">
        <f t="shared" si="6"/>
        <v>13800080.39797844</v>
      </c>
    </row>
    <row r="7" spans="1:17" x14ac:dyDescent="0.25">
      <c r="A7" s="186">
        <f>IF(3&lt;='入力 Inputs'!$B$86,3,"")</f>
        <v>3</v>
      </c>
      <c r="B7" s="187">
        <f>IF(A7="","",'入力 Inputs'!$B$55+A7)</f>
        <v>49</v>
      </c>
      <c r="C7" s="43">
        <f t="shared" si="7"/>
        <v>0</v>
      </c>
      <c r="D7" s="43">
        <f>IF(A7="","",(D6-D6*'入力 Inputs'!$B$41-'入力 Inputs'!$B$57*(1+'入力 Inputs'!$B$91)^(3-1))*(1+'入力 Inputs'!$B$83))</f>
        <v>14436953.335889192</v>
      </c>
      <c r="E7" s="43" cm="1">
        <f t="array" ref="E7">IF(A7="","",IF(A7&lt;=10,D7*(1-INDEX('入力 Inputs'!$B$71:$B$80,A7)),D7))</f>
        <v>2887390.6671778378</v>
      </c>
      <c r="F7" s="43">
        <f t="shared" si="0"/>
        <v>14436953.335889192</v>
      </c>
      <c r="G7" s="43">
        <f>IF(A7="","",(G6-G6*'入力 Inputs'!$B$41-'入力 Inputs'!$B$57*(1+'入力 Inputs'!$B$91)^(3-1))*(1+'入力 Inputs'!$B$84))</f>
        <v>14538075.918979557</v>
      </c>
      <c r="H7" s="43" cm="1">
        <f t="array" ref="H7">IF(A7="","",IF(A7&lt;=10,G7*(1-INDEX('入力 Inputs'!$B$71:$B$80,A7)),G7))</f>
        <v>2907615.1837959108</v>
      </c>
      <c r="I7" s="43">
        <f t="shared" si="1"/>
        <v>14538075.918979557</v>
      </c>
      <c r="J7" s="43">
        <f>IF(A7="","",(J6-J6*'入力 Inputs'!$B$41-'入力 Inputs'!$B$57*(1+'入力 Inputs'!$B$91)^(3-1))*(1+'入力 Inputs'!$B$85))</f>
        <v>14743802.300521266</v>
      </c>
      <c r="K7" s="43" cm="1">
        <f t="array" ref="K7">IF(A7="","",IF(A7&lt;=10,J7*(1-INDEX('入力 Inputs'!$B$71:$B$80,A7)),J7))</f>
        <v>2948760.4601042527</v>
      </c>
      <c r="L7" s="43">
        <f t="shared" si="2"/>
        <v>14743802.300521266</v>
      </c>
      <c r="M7" s="170">
        <f>IF(A7="","",D7*'入力 Inputs'!$B$64)</f>
        <v>2309912533.7422709</v>
      </c>
      <c r="N7">
        <f t="shared" si="3"/>
        <v>3</v>
      </c>
      <c r="O7">
        <f t="shared" si="4"/>
        <v>14436953.335889192</v>
      </c>
      <c r="P7">
        <f t="shared" si="5"/>
        <v>14538075.918979557</v>
      </c>
      <c r="Q7">
        <f t="shared" si="6"/>
        <v>14743802.300521266</v>
      </c>
    </row>
    <row r="8" spans="1:17" x14ac:dyDescent="0.25">
      <c r="A8" s="186">
        <f>IF(4&lt;='入力 Inputs'!$B$86,4,"")</f>
        <v>4</v>
      </c>
      <c r="B8" s="187">
        <f>IF(A8="","",'入力 Inputs'!$B$55+A8)</f>
        <v>50</v>
      </c>
      <c r="C8" s="43">
        <f t="shared" si="7"/>
        <v>0</v>
      </c>
      <c r="D8" s="43">
        <f>IF(A8="","",(D7-D7*'入力 Inputs'!$B$41-'入力 Inputs'!$B$57*(1+'入力 Inputs'!$B$91)^(4-1))*(1+'入力 Inputs'!$B$83))</f>
        <v>15316476.741781311</v>
      </c>
      <c r="E8" s="43" cm="1">
        <f t="array" ref="E8">IF(A8="","",IF(A8&lt;=10,D8*(1-INDEX('入力 Inputs'!$B$71:$B$80,A8)),D8))</f>
        <v>4594943.0225343937</v>
      </c>
      <c r="F8" s="43">
        <f t="shared" si="0"/>
        <v>15316476.741781311</v>
      </c>
      <c r="G8" s="43">
        <f>IF(A8="","",(G7-G7*'入力 Inputs'!$B$41-'入力 Inputs'!$B$57*(1+'入力 Inputs'!$B$91)^(4-1))*(1+'入力 Inputs'!$B$84))</f>
        <v>15459688.291090643</v>
      </c>
      <c r="H8" s="43" cm="1">
        <f t="array" ref="H8">IF(A8="","",IF(A8&lt;=10,G8*(1-INDEX('入力 Inputs'!$B$71:$B$80,A8)),G8))</f>
        <v>4637906.4873271938</v>
      </c>
      <c r="I8" s="43">
        <f t="shared" si="1"/>
        <v>15459688.291090643</v>
      </c>
      <c r="J8" s="43">
        <f>IF(A8="","",(J7-J7*'入力 Inputs'!$B$41-'入力 Inputs'!$B$57*(1+'入力 Inputs'!$B$91)^(4-1))*(1+'入力 Inputs'!$B$85))</f>
        <v>15752066.024700202</v>
      </c>
      <c r="K8" s="43" cm="1">
        <f t="array" ref="K8">IF(A8="","",IF(A8&lt;=10,J8*(1-INDEX('入力 Inputs'!$B$71:$B$80,A8)),J8))</f>
        <v>4725619.8074100614</v>
      </c>
      <c r="L8" s="43">
        <f t="shared" si="2"/>
        <v>15752066.024700202</v>
      </c>
      <c r="M8" s="170">
        <f>IF(A8="","",D8*'入力 Inputs'!$B$64)</f>
        <v>2450636278.68501</v>
      </c>
      <c r="N8">
        <f t="shared" si="3"/>
        <v>4</v>
      </c>
      <c r="O8">
        <f t="shared" si="4"/>
        <v>15316476.741781311</v>
      </c>
      <c r="P8">
        <f t="shared" si="5"/>
        <v>15459688.291090643</v>
      </c>
      <c r="Q8">
        <f t="shared" si="6"/>
        <v>15752066.024700202</v>
      </c>
    </row>
    <row r="9" spans="1:17" x14ac:dyDescent="0.25">
      <c r="A9" s="186">
        <f>IF(5&lt;='入力 Inputs'!$B$86,5,"")</f>
        <v>5</v>
      </c>
      <c r="B9" s="187">
        <f>IF(A9="","",'入力 Inputs'!$B$55+A9)</f>
        <v>51</v>
      </c>
      <c r="C9" s="43">
        <f t="shared" si="7"/>
        <v>0</v>
      </c>
      <c r="D9" s="43">
        <f>IF(A9="","",(D8-D8*'入力 Inputs'!$B$41-'入力 Inputs'!$B$57*(1+'入力 Inputs'!$B$91)^(5-1))*(1+'入力 Inputs'!$B$83))</f>
        <v>16249586.445246479</v>
      </c>
      <c r="E9" s="43" cm="1">
        <f t="array" ref="E9">IF(A9="","",IF(A9&lt;=10,D9*(1-INDEX('入力 Inputs'!$B$71:$B$80,A9)),D9))</f>
        <v>6499834.5780985914</v>
      </c>
      <c r="F9" s="43">
        <f t="shared" si="0"/>
        <v>16249586.445246479</v>
      </c>
      <c r="G9" s="43">
        <f>IF(A9="","",(G8-G8*'入力 Inputs'!$B$41-'入力 Inputs'!$B$57*(1+'入力 Inputs'!$B$91)^(5-1))*(1+'入力 Inputs'!$B$84))</f>
        <v>16439729.05203424</v>
      </c>
      <c r="H9" s="43" cm="1">
        <f t="array" ref="H9">IF(A9="","",IF(A9&lt;=10,G9*(1-INDEX('入力 Inputs'!$B$71:$B$80,A9)),G9))</f>
        <v>6575891.6208136966</v>
      </c>
      <c r="I9" s="43">
        <f t="shared" si="1"/>
        <v>16439729.05203424</v>
      </c>
      <c r="J9" s="43">
        <f>IF(A9="","",(J8-J8*'入力 Inputs'!$B$41-'入力 Inputs'!$B$57*(1+'入力 Inputs'!$B$91)^(5-1))*(1+'入力 Inputs'!$B$85))</f>
        <v>16829285.787269399</v>
      </c>
      <c r="K9" s="43" cm="1">
        <f t="array" ref="K9">IF(A9="","",IF(A9&lt;=10,J9*(1-INDEX('入力 Inputs'!$B$71:$B$80,A9)),J9))</f>
        <v>6731714.3149077594</v>
      </c>
      <c r="L9" s="43">
        <f t="shared" si="2"/>
        <v>16829285.787269399</v>
      </c>
      <c r="M9" s="170">
        <f>IF(A9="","",D9*'入力 Inputs'!$B$64)</f>
        <v>2599933831.2394366</v>
      </c>
      <c r="N9">
        <f t="shared" si="3"/>
        <v>5</v>
      </c>
      <c r="O9">
        <f t="shared" si="4"/>
        <v>16249586.445246479</v>
      </c>
      <c r="P9">
        <f t="shared" si="5"/>
        <v>16439729.05203424</v>
      </c>
      <c r="Q9">
        <f t="shared" si="6"/>
        <v>16829285.787269399</v>
      </c>
    </row>
    <row r="10" spans="1:17" x14ac:dyDescent="0.25">
      <c r="A10" s="186">
        <f>IF(6&lt;='入力 Inputs'!$B$86,6,"")</f>
        <v>6</v>
      </c>
      <c r="B10" s="187">
        <f>IF(A10="","",'入力 Inputs'!$B$55+A10)</f>
        <v>52</v>
      </c>
      <c r="C10" s="43">
        <f t="shared" si="7"/>
        <v>0</v>
      </c>
      <c r="D10" s="43">
        <f>IF(A10="","",(D9-D9*'入力 Inputs'!$B$41-'入力 Inputs'!$B$57*(1+'入力 Inputs'!$B$91)^(6-1))*(1+'入力 Inputs'!$B$83))</f>
        <v>17239547.400470108</v>
      </c>
      <c r="E10" s="43" cm="1">
        <f t="array" ref="E10">IF(A10="","",IF(A10&lt;=10,D10*(1-INDEX('入力 Inputs'!$B$71:$B$80,A10)),D10))</f>
        <v>17239547.400470108</v>
      </c>
      <c r="F10" s="43">
        <f t="shared" si="0"/>
        <v>17239547.400470108</v>
      </c>
      <c r="G10" s="43">
        <f>IF(A10="","",(G9-G9*'入力 Inputs'!$B$41-'入力 Inputs'!$B$57*(1+'入力 Inputs'!$B$91)^(6-1))*(1+'入力 Inputs'!$B$84))</f>
        <v>17481902.583545595</v>
      </c>
      <c r="H10" s="43" cm="1">
        <f t="array" ref="H10">IF(A10="","",IF(A10&lt;=10,G10*(1-INDEX('入力 Inputs'!$B$71:$B$80,A10)),G10))</f>
        <v>17481902.583545595</v>
      </c>
      <c r="I10" s="43">
        <f t="shared" si="1"/>
        <v>17481902.583545595</v>
      </c>
      <c r="J10" s="43">
        <f>IF(A10="","",(J9-J9*'入力 Inputs'!$B$41-'入力 Inputs'!$B$57*(1+'入力 Inputs'!$B$91)^(6-1))*(1+'入力 Inputs'!$B$85))</f>
        <v>17980177.711703811</v>
      </c>
      <c r="K10" s="43" cm="1">
        <f t="array" ref="K10">IF(A10="","",IF(A10&lt;=10,J10*(1-INDEX('入力 Inputs'!$B$71:$B$80,A10)),J10))</f>
        <v>17980177.711703811</v>
      </c>
      <c r="L10" s="43">
        <f t="shared" si="2"/>
        <v>17980177.711703811</v>
      </c>
      <c r="M10" s="170">
        <f>IF(A10="","",D10*'入力 Inputs'!$B$64)</f>
        <v>2758327584.0752172</v>
      </c>
      <c r="N10">
        <f t="shared" si="3"/>
        <v>6</v>
      </c>
      <c r="O10">
        <f t="shared" si="4"/>
        <v>17239547.400470108</v>
      </c>
      <c r="P10">
        <f t="shared" si="5"/>
        <v>17481902.583545595</v>
      </c>
      <c r="Q10">
        <f t="shared" si="6"/>
        <v>17980177.711703811</v>
      </c>
    </row>
    <row r="11" spans="1:17" x14ac:dyDescent="0.25">
      <c r="A11" s="186">
        <f>IF(7&lt;='入力 Inputs'!$B$86,7,"")</f>
        <v>7</v>
      </c>
      <c r="B11" s="187">
        <f>IF(A11="","",'入力 Inputs'!$B$55+A11)</f>
        <v>53</v>
      </c>
      <c r="C11" s="43">
        <f t="shared" si="7"/>
        <v>0</v>
      </c>
      <c r="D11" s="43">
        <f>IF(A11="","",(D10-D10*'入力 Inputs'!$B$41-'入力 Inputs'!$B$57*(1+'入力 Inputs'!$B$91)^(7-1))*(1+'入力 Inputs'!$B$83))</f>
        <v>18289823.495537903</v>
      </c>
      <c r="E11" s="43" cm="1">
        <f t="array" ref="E11">IF(A11="","",IF(A11&lt;=10,D11*(1-INDEX('入力 Inputs'!$B$71:$B$80,A11)),D11))</f>
        <v>18289823.495537903</v>
      </c>
      <c r="F11" s="43">
        <f t="shared" si="0"/>
        <v>18289823.495537903</v>
      </c>
      <c r="G11" s="43">
        <f>IF(A11="","",(G10-G10*'入力 Inputs'!$B$41-'入力 Inputs'!$B$57*(1+'入力 Inputs'!$B$91)^(7-1))*(1+'入力 Inputs'!$B$84))</f>
        <v>18590148.130697295</v>
      </c>
      <c r="H11" s="43" cm="1">
        <f t="array" ref="H11">IF(A11="","",IF(A11&lt;=10,G11*(1-INDEX('入力 Inputs'!$B$71:$B$80,A11)),G11))</f>
        <v>18590148.130697295</v>
      </c>
      <c r="I11" s="43">
        <f t="shared" si="1"/>
        <v>18590148.130697295</v>
      </c>
      <c r="J11" s="43">
        <f>IF(A11="","",(J10-J10*'入力 Inputs'!$B$41-'入力 Inputs'!$B$57*(1+'入力 Inputs'!$B$91)^(7-1))*(1+'入力 Inputs'!$B$85))</f>
        <v>19209780.477000341</v>
      </c>
      <c r="K11" s="43" cm="1">
        <f t="array" ref="K11">IF(A11="","",IF(A11&lt;=10,J11*(1-INDEX('入力 Inputs'!$B$71:$B$80,A11)),J11))</f>
        <v>19209780.477000341</v>
      </c>
      <c r="L11" s="43">
        <f t="shared" si="2"/>
        <v>19209780.477000341</v>
      </c>
      <c r="M11" s="170">
        <f>IF(A11="","",D11*'入力 Inputs'!$B$64)</f>
        <v>2926371759.2860646</v>
      </c>
      <c r="N11">
        <f t="shared" si="3"/>
        <v>7</v>
      </c>
      <c r="O11">
        <f t="shared" si="4"/>
        <v>18289823.495537903</v>
      </c>
      <c r="P11">
        <f t="shared" si="5"/>
        <v>18590148.130697295</v>
      </c>
      <c r="Q11">
        <f t="shared" si="6"/>
        <v>19209780.477000341</v>
      </c>
    </row>
    <row r="12" spans="1:17" x14ac:dyDescent="0.25">
      <c r="A12" s="186">
        <f>IF(8&lt;='入力 Inputs'!$B$86,8,"")</f>
        <v>8</v>
      </c>
      <c r="B12" s="187">
        <f>IF(A12="","",'入力 Inputs'!$B$55+A12)</f>
        <v>54</v>
      </c>
      <c r="C12" s="43">
        <f t="shared" si="7"/>
        <v>0</v>
      </c>
      <c r="D12" s="43">
        <f>IF(A12="","",(D11-D11*'入力 Inputs'!$B$41-'入力 Inputs'!$B$57*(1+'入力 Inputs'!$B$91)^(8-1))*(1+'入力 Inputs'!$B$83))</f>
        <v>19404089.673608128</v>
      </c>
      <c r="E12" s="43" cm="1">
        <f t="array" ref="E12">IF(A12="","",IF(A12&lt;=10,D12*(1-INDEX('入力 Inputs'!$B$71:$B$80,A12)),D12))</f>
        <v>19404089.673608128</v>
      </c>
      <c r="F12" s="43">
        <f t="shared" si="0"/>
        <v>19404089.673608128</v>
      </c>
      <c r="G12" s="43">
        <f>IF(A12="","",(G11-G11*'入力 Inputs'!$B$41-'入力 Inputs'!$B$57*(1+'入力 Inputs'!$B$91)^(8-1))*(1+'入力 Inputs'!$B$84))</f>
        <v>19768654.692710232</v>
      </c>
      <c r="H12" s="43" cm="1">
        <f t="array" ref="H12">IF(A12="","",IF(A12&lt;=10,G12*(1-INDEX('入力 Inputs'!$B$71:$B$80,A12)),G12))</f>
        <v>19768654.692710232</v>
      </c>
      <c r="I12" s="43">
        <f t="shared" si="1"/>
        <v>19768654.692710232</v>
      </c>
      <c r="J12" s="43">
        <f>IF(A12="","",(J11-J11*'入力 Inputs'!$B$41-'入力 Inputs'!$B$57*(1+'入力 Inputs'!$B$91)^(8-1))*(1+'入力 Inputs'!$B$85))</f>
        <v>20523477.378750462</v>
      </c>
      <c r="K12" s="43" cm="1">
        <f t="array" ref="K12">IF(A12="","",IF(A12&lt;=10,J12*(1-INDEX('入力 Inputs'!$B$71:$B$80,A12)),J12))</f>
        <v>20523477.378750462</v>
      </c>
      <c r="L12" s="43">
        <f t="shared" si="2"/>
        <v>20523477.378750462</v>
      </c>
      <c r="M12" s="170">
        <f>IF(A12="","",D12*'入力 Inputs'!$B$64)</f>
        <v>3104654347.7773004</v>
      </c>
      <c r="N12">
        <f t="shared" si="3"/>
        <v>8</v>
      </c>
      <c r="O12">
        <f t="shared" si="4"/>
        <v>19404089.673608128</v>
      </c>
      <c r="P12">
        <f t="shared" si="5"/>
        <v>19768654.692710232</v>
      </c>
      <c r="Q12">
        <f t="shared" si="6"/>
        <v>20523477.378750462</v>
      </c>
    </row>
    <row r="13" spans="1:17" x14ac:dyDescent="0.25">
      <c r="A13" s="186">
        <f>IF(9&lt;='入力 Inputs'!$B$86,9,"")</f>
        <v>9</v>
      </c>
      <c r="B13" s="187">
        <f>IF(A13="","",'入力 Inputs'!$B$55+A13)</f>
        <v>55</v>
      </c>
      <c r="C13" s="43">
        <f t="shared" si="7"/>
        <v>0</v>
      </c>
      <c r="D13" s="43">
        <f>IF(A13="","",(D12-D12*'入力 Inputs'!$B$41-'入力 Inputs'!$B$57*(1+'入力 Inputs'!$B$91)^(9-1))*(1+'入力 Inputs'!$B$83))</f>
        <v>20586244.79263819</v>
      </c>
      <c r="E13" s="43" cm="1">
        <f t="array" ref="E13">IF(A13="","",IF(A13&lt;=10,D13*(1-INDEX('入力 Inputs'!$B$71:$B$80,A13)),D13))</f>
        <v>20586244.79263819</v>
      </c>
      <c r="F13" s="43">
        <f t="shared" si="0"/>
        <v>20586244.79263819</v>
      </c>
      <c r="G13" s="43">
        <f>IF(A13="","",(G12-G12*'入力 Inputs'!$B$41-'入力 Inputs'!$B$57*(1+'入力 Inputs'!$B$91)^(9-1))*(1+'入力 Inputs'!$B$84))</f>
        <v>21021876.857875887</v>
      </c>
      <c r="H13" s="43" cm="1">
        <f t="array" ref="H13">IF(A13="","",IF(A13&lt;=10,G13*(1-INDEX('入力 Inputs'!$B$71:$B$80,A13)),G13))</f>
        <v>21021876.857875887</v>
      </c>
      <c r="I13" s="43">
        <f t="shared" si="1"/>
        <v>21021876.857875887</v>
      </c>
      <c r="J13" s="43">
        <f>IF(A13="","",(J12-J12*'入力 Inputs'!$B$41-'入力 Inputs'!$B$57*(1+'入力 Inputs'!$B$91)^(9-1))*(1+'入力 Inputs'!$B$85))</f>
        <v>21927019.899076551</v>
      </c>
      <c r="K13" s="43" cm="1">
        <f t="array" ref="K13">IF(A13="","",IF(A13&lt;=10,J13*(1-INDEX('入力 Inputs'!$B$71:$B$80,A13)),J13))</f>
        <v>21927019.899076551</v>
      </c>
      <c r="L13" s="43">
        <f t="shared" si="2"/>
        <v>21927019.899076551</v>
      </c>
      <c r="M13" s="170">
        <f>IF(A13="","",D13*'入力 Inputs'!$B$64)</f>
        <v>3293799166.8221102</v>
      </c>
      <c r="N13">
        <f t="shared" si="3"/>
        <v>9</v>
      </c>
      <c r="O13">
        <f t="shared" si="4"/>
        <v>20586244.79263819</v>
      </c>
      <c r="P13">
        <f t="shared" si="5"/>
        <v>21021876.857875887</v>
      </c>
      <c r="Q13">
        <f t="shared" si="6"/>
        <v>21927019.899076551</v>
      </c>
    </row>
    <row r="14" spans="1:17" x14ac:dyDescent="0.25">
      <c r="A14" s="186">
        <f>IF(10&lt;='入力 Inputs'!$B$86,10,"")</f>
        <v>10</v>
      </c>
      <c r="B14" s="187">
        <f>IF(A14="","",'入力 Inputs'!$B$55+A14)</f>
        <v>56</v>
      </c>
      <c r="C14" s="43">
        <f t="shared" si="7"/>
        <v>0</v>
      </c>
      <c r="D14" s="43">
        <f>IF(A14="","",(D13-D13*'入力 Inputs'!$B$41-'入力 Inputs'!$B$57*(1+'入力 Inputs'!$B$91)^(10-1))*(1+'入力 Inputs'!$B$83))</f>
        <v>21840425.268666591</v>
      </c>
      <c r="E14" s="43" cm="1">
        <f t="array" ref="E14">IF(A14="","",IF(A14&lt;=10,D14*(1-INDEX('入力 Inputs'!$B$71:$B$80,A14)),D14))</f>
        <v>21840425.268666591</v>
      </c>
      <c r="F14" s="43">
        <f t="shared" si="0"/>
        <v>21840425.268666591</v>
      </c>
      <c r="G14" s="43">
        <f>IF(A14="","",(G13-G13*'入力 Inputs'!$B$41-'入力 Inputs'!$B$57*(1+'入力 Inputs'!$B$91)^(10-1))*(1+'入力 Inputs'!$B$84))</f>
        <v>22354551.64244879</v>
      </c>
      <c r="H14" s="43" cm="1">
        <f t="array" ref="H14">IF(A14="","",IF(A14&lt;=10,G14*(1-INDEX('入力 Inputs'!$B$71:$B$80,A14)),G14))</f>
        <v>22354551.64244879</v>
      </c>
      <c r="I14" s="43">
        <f t="shared" si="1"/>
        <v>22354551.64244879</v>
      </c>
      <c r="J14" s="43">
        <f>IF(A14="","",(J13-J13*'入力 Inputs'!$B$41-'入力 Inputs'!$B$57*(1+'入力 Inputs'!$B$91)^(10-1))*(1+'入力 Inputs'!$B$85))</f>
        <v>23426552.888630539</v>
      </c>
      <c r="K14" s="43" cm="1">
        <f t="array" ref="K14">IF(A14="","",IF(A14&lt;=10,J14*(1-INDEX('入力 Inputs'!$B$71:$B$80,A14)),J14))</f>
        <v>23426552.888630539</v>
      </c>
      <c r="L14" s="43">
        <f t="shared" si="2"/>
        <v>23426552.888630539</v>
      </c>
      <c r="M14" s="170">
        <f>IF(A14="","",D14*'入力 Inputs'!$B$64)</f>
        <v>3494468042.9866548</v>
      </c>
      <c r="N14">
        <f t="shared" si="3"/>
        <v>10</v>
      </c>
      <c r="O14">
        <f t="shared" si="4"/>
        <v>21840425.268666591</v>
      </c>
      <c r="P14">
        <f t="shared" si="5"/>
        <v>22354551.64244879</v>
      </c>
      <c r="Q14">
        <f t="shared" si="6"/>
        <v>23426552.888630539</v>
      </c>
    </row>
    <row r="15" spans="1:17" x14ac:dyDescent="0.25">
      <c r="A15" s="186">
        <f>IF(11&lt;='入力 Inputs'!$B$86,11,"")</f>
        <v>11</v>
      </c>
      <c r="B15" s="187">
        <f>IF(A15="","",'入力 Inputs'!$B$55+A15)</f>
        <v>57</v>
      </c>
      <c r="C15" s="43">
        <f t="shared" si="7"/>
        <v>0</v>
      </c>
      <c r="D15" s="43">
        <f>IF(A15="","",(D14-D14*'入力 Inputs'!$B$41-'入力 Inputs'!$B$57*(1+'入力 Inputs'!$B$91)^(11-1))*(1+'入力 Inputs'!$B$83))</f>
        <v>23171019.550392963</v>
      </c>
      <c r="E15" s="43" cm="1">
        <f t="array" ref="E15">IF(A15="","",IF(A15&lt;=10,D15*(1-INDEX('入力 Inputs'!$B$71:$B$80,A15)),D15))</f>
        <v>23171019.550392963</v>
      </c>
      <c r="F15" s="43">
        <f t="shared" si="0"/>
        <v>23171019.550392963</v>
      </c>
      <c r="G15" s="43">
        <f>IF(A15="","",(G14-G14*'入力 Inputs'!$B$41-'入力 Inputs'!$B$57*(1+'入力 Inputs'!$B$91)^(11-1))*(1+'入力 Inputs'!$B$84))</f>
        <v>23771716.39716332</v>
      </c>
      <c r="H15" s="43" cm="1">
        <f t="array" ref="H15">IF(A15="","",IF(A15&lt;=10,G15*(1-INDEX('入力 Inputs'!$B$71:$B$80,A15)),G15))</f>
        <v>23771716.39716332</v>
      </c>
      <c r="I15" s="43">
        <f t="shared" si="1"/>
        <v>23771716.39716332</v>
      </c>
      <c r="J15" s="43">
        <f>IF(A15="","",(J14-J14*'入力 Inputs'!$B$41-'入力 Inputs'!$B$57*(1+'入力 Inputs'!$B$91)^(11-1))*(1+'入力 Inputs'!$B$85))</f>
        <v>25028641.470911771</v>
      </c>
      <c r="K15" s="43" cm="1">
        <f t="array" ref="K15">IF(A15="","",IF(A15&lt;=10,J15*(1-INDEX('入力 Inputs'!$B$71:$B$80,A15)),J15))</f>
        <v>25028641.470911771</v>
      </c>
      <c r="L15" s="43">
        <f t="shared" si="2"/>
        <v>25028641.470911771</v>
      </c>
      <c r="M15" s="170">
        <f>IF(A15="","",D15*'入力 Inputs'!$B$64)</f>
        <v>3707363128.0628738</v>
      </c>
      <c r="N15">
        <f t="shared" si="3"/>
        <v>11</v>
      </c>
      <c r="O15">
        <f t="shared" si="4"/>
        <v>23171019.550392963</v>
      </c>
      <c r="P15">
        <f t="shared" si="5"/>
        <v>23771716.39716332</v>
      </c>
      <c r="Q15">
        <f t="shared" si="6"/>
        <v>25028641.470911771</v>
      </c>
    </row>
    <row r="16" spans="1:17" x14ac:dyDescent="0.25">
      <c r="A16" s="186">
        <f>IF(12&lt;='入力 Inputs'!$B$86,12,"")</f>
        <v>12</v>
      </c>
      <c r="B16" s="187">
        <f>IF(A16="","",'入力 Inputs'!$B$55+A16)</f>
        <v>58</v>
      </c>
      <c r="C16" s="43">
        <f t="shared" si="7"/>
        <v>0</v>
      </c>
      <c r="D16" s="43">
        <f>IF(A16="","",(D15-D15*'入力 Inputs'!$B$41-'入力 Inputs'!$B$57*(1+'入力 Inputs'!$B$91)^(12-1))*(1+'入力 Inputs'!$B$83))</f>
        <v>24582683.475708213</v>
      </c>
      <c r="E16" s="43" cm="1">
        <f t="array" ref="E16">IF(A16="","",IF(A16&lt;=10,D16*(1-INDEX('入力 Inputs'!$B$71:$B$80,A16)),D16))</f>
        <v>24582683.475708213</v>
      </c>
      <c r="F16" s="43">
        <f t="shared" si="0"/>
        <v>24582683.475708213</v>
      </c>
      <c r="G16" s="43">
        <f>IF(A16="","",(G15-G15*'入力 Inputs'!$B$41-'入力 Inputs'!$B$57*(1+'入力 Inputs'!$B$91)^(12-1))*(1+'入力 Inputs'!$B$84))</f>
        <v>25278727.84906476</v>
      </c>
      <c r="H16" s="43" cm="1">
        <f t="array" ref="H16">IF(A16="","",IF(A16&lt;=10,G16*(1-INDEX('入力 Inputs'!$B$71:$B$80,A16)),G16))</f>
        <v>25278727.84906476</v>
      </c>
      <c r="I16" s="43">
        <f t="shared" si="1"/>
        <v>25278727.84906476</v>
      </c>
      <c r="J16" s="43">
        <f>IF(A16="","",(J15-J15*'入力 Inputs'!$B$41-'入力 Inputs'!$B$57*(1+'入力 Inputs'!$B$91)^(12-1))*(1+'入力 Inputs'!$B$85))</f>
        <v>26740299.786702029</v>
      </c>
      <c r="K16" s="43" cm="1">
        <f t="array" ref="K16">IF(A16="","",IF(A16&lt;=10,J16*(1-INDEX('入力 Inputs'!$B$71:$B$80,A16)),J16))</f>
        <v>26740299.786702029</v>
      </c>
      <c r="L16" s="43">
        <f t="shared" si="2"/>
        <v>26740299.786702029</v>
      </c>
      <c r="M16" s="170">
        <f>IF(A16="","",D16*'入力 Inputs'!$B$64)</f>
        <v>3933229356.1133142</v>
      </c>
      <c r="N16">
        <f t="shared" si="3"/>
        <v>12</v>
      </c>
      <c r="O16">
        <f t="shared" si="4"/>
        <v>24582683.475708213</v>
      </c>
      <c r="P16">
        <f t="shared" si="5"/>
        <v>25278727.84906476</v>
      </c>
      <c r="Q16">
        <f t="shared" si="6"/>
        <v>26740299.786702029</v>
      </c>
    </row>
    <row r="17" spans="1:17" x14ac:dyDescent="0.25">
      <c r="A17" s="186">
        <f>IF(13&lt;='入力 Inputs'!$B$86,13,"")</f>
        <v>13</v>
      </c>
      <c r="B17" s="187">
        <f>IF(A17="","",'入力 Inputs'!$B$55+A17)</f>
        <v>59</v>
      </c>
      <c r="C17" s="43">
        <f t="shared" si="7"/>
        <v>0</v>
      </c>
      <c r="D17" s="43">
        <f>IF(A17="","",(D16-D16*'入力 Inputs'!$B$41-'入力 Inputs'!$B$57*(1+'入力 Inputs'!$B$91)^(13-1))*(1+'入力 Inputs'!$B$83))</f>
        <v>26080356.563912891</v>
      </c>
      <c r="E17" s="43" cm="1">
        <f t="array" ref="E17">IF(A17="","",IF(A17&lt;=10,D17*(1-INDEX('入力 Inputs'!$B$71:$B$80,A17)),D17))</f>
        <v>26080356.563912891</v>
      </c>
      <c r="F17" s="43">
        <f t="shared" si="0"/>
        <v>26080356.563912891</v>
      </c>
      <c r="G17" s="43">
        <f>IF(A17="","",(G16-G16*'入力 Inputs'!$B$41-'入力 Inputs'!$B$57*(1+'入力 Inputs'!$B$91)^(13-1))*(1+'入力 Inputs'!$B$84))</f>
        <v>26881282.350636292</v>
      </c>
      <c r="H17" s="43" cm="1">
        <f t="array" ref="H17">IF(A17="","",IF(A17&lt;=10,G17*(1-INDEX('入力 Inputs'!$B$71:$B$80,A17)),G17))</f>
        <v>26881282.350636292</v>
      </c>
      <c r="I17" s="43">
        <f t="shared" si="1"/>
        <v>26881282.350636292</v>
      </c>
      <c r="J17" s="43">
        <f>IF(A17="","",(J16-J16*'入力 Inputs'!$B$41-'入力 Inputs'!$B$57*(1+'入力 Inputs'!$B$91)^(13-1))*(1+'入力 Inputs'!$B$85))</f>
        <v>28569021.704472382</v>
      </c>
      <c r="K17" s="43" cm="1">
        <f t="array" ref="K17">IF(A17="","",IF(A17&lt;=10,J17*(1-INDEX('入力 Inputs'!$B$71:$B$80,A17)),J17))</f>
        <v>28569021.704472382</v>
      </c>
      <c r="L17" s="43">
        <f t="shared" si="2"/>
        <v>28569021.704472382</v>
      </c>
      <c r="M17" s="170">
        <f>IF(A17="","",D17*'入力 Inputs'!$B$64)</f>
        <v>4172857050.2260628</v>
      </c>
      <c r="N17">
        <f t="shared" si="3"/>
        <v>13</v>
      </c>
      <c r="O17">
        <f t="shared" si="4"/>
        <v>26080356.563912891</v>
      </c>
      <c r="P17">
        <f t="shared" si="5"/>
        <v>26881282.350636292</v>
      </c>
      <c r="Q17">
        <f t="shared" si="6"/>
        <v>28569021.704472382</v>
      </c>
    </row>
    <row r="18" spans="1:17" x14ac:dyDescent="0.25">
      <c r="A18" s="186">
        <f>IF(14&lt;='入力 Inputs'!$B$86,14,"")</f>
        <v>14</v>
      </c>
      <c r="B18" s="187">
        <f>IF(A18="","",'入力 Inputs'!$B$55+A18)</f>
        <v>60</v>
      </c>
      <c r="C18" s="43">
        <f t="shared" si="7"/>
        <v>0</v>
      </c>
      <c r="D18" s="43">
        <f>IF(A18="","",(D17-D17*'入力 Inputs'!$B$41-'入力 Inputs'!$B$57*(1+'入力 Inputs'!$B$91)^(14-1))*(1+'入力 Inputs'!$B$83))</f>
        <v>27669279.30063628</v>
      </c>
      <c r="E18" s="43" cm="1">
        <f t="array" ref="E18">IF(A18="","",IF(A18&lt;=10,D18*(1-INDEX('入力 Inputs'!$B$71:$B$80,A18)),D18))</f>
        <v>27669279.30063628</v>
      </c>
      <c r="F18" s="43">
        <f t="shared" si="0"/>
        <v>27669279.30063628</v>
      </c>
      <c r="G18" s="43">
        <f>IF(A18="","",(G17-G17*'入力 Inputs'!$B$41-'入力 Inputs'!$B$57*(1+'入力 Inputs'!$B$91)^(14-1))*(1+'入力 Inputs'!$B$84))</f>
        <v>28585437.412767347</v>
      </c>
      <c r="H18" s="43" cm="1">
        <f t="array" ref="H18">IF(A18="","",IF(A18&lt;=10,G18*(1-INDEX('入力 Inputs'!$B$71:$B$80,A18)),G18))</f>
        <v>28585437.412767347</v>
      </c>
      <c r="I18" s="43">
        <f t="shared" si="1"/>
        <v>28585437.412767347</v>
      </c>
      <c r="J18" s="43">
        <f>IF(A18="","",(J17-J17*'入力 Inputs'!$B$41-'入力 Inputs'!$B$57*(1+'入力 Inputs'!$B$91)^(14-1))*(1+'入力 Inputs'!$B$85))</f>
        <v>30522813.631224401</v>
      </c>
      <c r="K18" s="43" cm="1">
        <f t="array" ref="K18">IF(A18="","",IF(A18&lt;=10,J18*(1-INDEX('入力 Inputs'!$B$71:$B$80,A18)),J18))</f>
        <v>30522813.631224401</v>
      </c>
      <c r="L18" s="43">
        <f t="shared" si="2"/>
        <v>30522813.631224401</v>
      </c>
      <c r="M18" s="170">
        <f>IF(A18="","",D18*'入力 Inputs'!$B$64)</f>
        <v>4427084688.1018047</v>
      </c>
      <c r="N18">
        <f t="shared" si="3"/>
        <v>14</v>
      </c>
      <c r="O18">
        <f t="shared" si="4"/>
        <v>27669279.30063628</v>
      </c>
      <c r="P18">
        <f t="shared" si="5"/>
        <v>28585437.412767347</v>
      </c>
      <c r="Q18">
        <f t="shared" si="6"/>
        <v>30522813.631224401</v>
      </c>
    </row>
    <row r="19" spans="1:17" x14ac:dyDescent="0.25">
      <c r="A19" s="186">
        <f>IF(15&lt;='入力 Inputs'!$B$86,15,"")</f>
        <v>15</v>
      </c>
      <c r="B19" s="187">
        <f>IF(A19="","",'入力 Inputs'!$B$55+A19)</f>
        <v>61</v>
      </c>
      <c r="C19" s="43">
        <f t="shared" si="7"/>
        <v>0</v>
      </c>
      <c r="D19" s="43">
        <f>IF(A19="","",(D18-D18*'入力 Inputs'!$B$41-'入力 Inputs'!$B$57*(1+'入力 Inputs'!$B$91)^(15-1))*(1+'入力 Inputs'!$B$83))</f>
        <v>29355011.475942601</v>
      </c>
      <c r="E19" s="43" cm="1">
        <f t="array" ref="E19">IF(A19="","",IF(A19&lt;=10,D19*(1-INDEX('入力 Inputs'!$B$71:$B$80,A19)),D19))</f>
        <v>29355011.475942601</v>
      </c>
      <c r="F19" s="43">
        <f t="shared" si="0"/>
        <v>29355011.475942601</v>
      </c>
      <c r="G19" s="43">
        <f>IF(A19="","",(G18-G18*'入力 Inputs'!$B$41-'入力 Inputs'!$B$57*(1+'入力 Inputs'!$B$91)^(15-1))*(1+'入力 Inputs'!$B$84))</f>
        <v>30397634.602962013</v>
      </c>
      <c r="H19" s="43" cm="1">
        <f t="array" ref="H19">IF(A19="","",IF(A19&lt;=10,G19*(1-INDEX('入力 Inputs'!$B$71:$B$80,A19)),G19))</f>
        <v>30397634.602962013</v>
      </c>
      <c r="I19" s="43">
        <f t="shared" si="1"/>
        <v>30397634.602962013</v>
      </c>
      <c r="J19" s="43">
        <f>IF(A19="","",(J18-J18*'入力 Inputs'!$B$41-'入力 Inputs'!$B$57*(1+'入力 Inputs'!$B$91)^(15-1))*(1+'入力 Inputs'!$B$85))</f>
        <v>32610229.567424864</v>
      </c>
      <c r="K19" s="43" cm="1">
        <f t="array" ref="K19">IF(A19="","",IF(A19&lt;=10,J19*(1-INDEX('入力 Inputs'!$B$71:$B$80,A19)),J19))</f>
        <v>32610229.567424864</v>
      </c>
      <c r="L19" s="43">
        <f t="shared" si="2"/>
        <v>32610229.567424864</v>
      </c>
      <c r="M19" s="170">
        <f>IF(A19="","",D19*'入力 Inputs'!$B$64)</f>
        <v>4696801836.150816</v>
      </c>
      <c r="N19">
        <f t="shared" si="3"/>
        <v>15</v>
      </c>
      <c r="O19">
        <f t="shared" si="4"/>
        <v>29355011.475942601</v>
      </c>
      <c r="P19">
        <f t="shared" si="5"/>
        <v>30397634.602962013</v>
      </c>
      <c r="Q19">
        <f t="shared" si="6"/>
        <v>32610229.567424864</v>
      </c>
    </row>
    <row r="20" spans="1:17" x14ac:dyDescent="0.25">
      <c r="A20" s="186">
        <f>IF(16&lt;='入力 Inputs'!$B$86,16,"")</f>
        <v>16</v>
      </c>
      <c r="B20" s="187">
        <f>IF(A20="","",'入力 Inputs'!$B$55+A20)</f>
        <v>62</v>
      </c>
      <c r="C20" s="43">
        <f t="shared" si="7"/>
        <v>0</v>
      </c>
      <c r="D20" s="43">
        <f>IF(A20="","",(D19-D19*'入力 Inputs'!$B$41-'入力 Inputs'!$B$57*(1+'入力 Inputs'!$B$91)^(16-1))*(1+'入力 Inputs'!$B$83))</f>
        <v>31143451.639796115</v>
      </c>
      <c r="E20" s="43" cm="1">
        <f t="array" ref="E20">IF(A20="","",IF(A20&lt;=10,D20*(1-INDEX('入力 Inputs'!$B$71:$B$80,A20)),D20))</f>
        <v>31143451.639796115</v>
      </c>
      <c r="F20" s="43">
        <f t="shared" si="0"/>
        <v>31143451.639796115</v>
      </c>
      <c r="G20" s="43">
        <f>IF(A20="","",(G19-G19*'入力 Inputs'!$B$41-'入力 Inputs'!$B$57*(1+'入力 Inputs'!$B$91)^(16-1))*(1+'入力 Inputs'!$B$84))</f>
        <v>32324723.895346947</v>
      </c>
      <c r="H20" s="43" cm="1">
        <f t="array" ref="H20">IF(A20="","",IF(A20&lt;=10,G20*(1-INDEX('入力 Inputs'!$B$71:$B$80,A20)),G20))</f>
        <v>32324723.895346947</v>
      </c>
      <c r="I20" s="43">
        <f t="shared" si="1"/>
        <v>32324723.895346947</v>
      </c>
      <c r="J20" s="43">
        <f>IF(A20="","",(J19-J19*'入力 Inputs'!$B$41-'入力 Inputs'!$B$57*(1+'入力 Inputs'!$B$91)^(16-1))*(1+'入力 Inputs'!$B$85))</f>
        <v>34840408.559518538</v>
      </c>
      <c r="K20" s="43" cm="1">
        <f t="array" ref="K20">IF(A20="","",IF(A20&lt;=10,J20*(1-INDEX('入力 Inputs'!$B$71:$B$80,A20)),J20))</f>
        <v>34840408.559518538</v>
      </c>
      <c r="L20" s="43">
        <f t="shared" si="2"/>
        <v>34840408.559518538</v>
      </c>
      <c r="M20" s="170">
        <f>IF(A20="","",D20*'入力 Inputs'!$B$64)</f>
        <v>4982952262.3673782</v>
      </c>
      <c r="N20">
        <f t="shared" si="3"/>
        <v>16</v>
      </c>
      <c r="O20">
        <f t="shared" si="4"/>
        <v>31143451.639796115</v>
      </c>
      <c r="P20">
        <f t="shared" si="5"/>
        <v>32324723.895346947</v>
      </c>
      <c r="Q20">
        <f t="shared" si="6"/>
        <v>34840408.559518538</v>
      </c>
    </row>
    <row r="21" spans="1:17" x14ac:dyDescent="0.25">
      <c r="A21" s="186">
        <f>IF(17&lt;='入力 Inputs'!$B$86,17,"")</f>
        <v>17</v>
      </c>
      <c r="B21" s="187">
        <f>IF(A21="","",'入力 Inputs'!$B$55+A21)</f>
        <v>63</v>
      </c>
      <c r="C21" s="43">
        <f t="shared" si="7"/>
        <v>0</v>
      </c>
      <c r="D21" s="43">
        <f>IF(A21="","",(D20-D20*'入力 Inputs'!$B$41-'入力 Inputs'!$B$57*(1+'入力 Inputs'!$B$91)^(17-1))*(1+'入力 Inputs'!$B$83))</f>
        <v>33040857.742967114</v>
      </c>
      <c r="E21" s="43" cm="1">
        <f t="array" ref="E21">IF(A21="","",IF(A21&lt;=10,D21*(1-INDEX('入力 Inputs'!$B$71:$B$80,A21)),D21))</f>
        <v>33040857.742967114</v>
      </c>
      <c r="F21" s="43">
        <f t="shared" si="0"/>
        <v>33040857.742967114</v>
      </c>
      <c r="G21" s="43">
        <f>IF(A21="","",(G20-G20*'入力 Inputs'!$B$41-'入力 Inputs'!$B$57*(1+'入力 Inputs'!$B$91)^(17-1))*(1+'入力 Inputs'!$B$84))</f>
        <v>34373989.564526439</v>
      </c>
      <c r="H21" s="43" cm="1">
        <f t="array" ref="H21">IF(A21="","",IF(A21&lt;=10,G21*(1-INDEX('入力 Inputs'!$B$71:$B$80,A21)),G21))</f>
        <v>34373989.564526439</v>
      </c>
      <c r="I21" s="43">
        <f t="shared" si="1"/>
        <v>34373989.564526439</v>
      </c>
      <c r="J21" s="43">
        <f>IF(A21="","",(J20-J20*'入力 Inputs'!$B$41-'入力 Inputs'!$B$57*(1+'入力 Inputs'!$B$91)^(17-1))*(1+'入力 Inputs'!$B$85))</f>
        <v>37223114.714001358</v>
      </c>
      <c r="K21" s="43" cm="1">
        <f t="array" ref="K21">IF(A21="","",IF(A21&lt;=10,J21*(1-INDEX('入力 Inputs'!$B$71:$B$80,A21)),J21))</f>
        <v>37223114.714001358</v>
      </c>
      <c r="L21" s="43">
        <f t="shared" si="2"/>
        <v>37223114.714001358</v>
      </c>
      <c r="M21" s="170">
        <f>IF(A21="","",D21*'入力 Inputs'!$B$64)</f>
        <v>5286537238.8747387</v>
      </c>
      <c r="N21">
        <f t="shared" si="3"/>
        <v>17</v>
      </c>
      <c r="O21">
        <f t="shared" si="4"/>
        <v>33040857.742967114</v>
      </c>
      <c r="P21">
        <f t="shared" si="5"/>
        <v>34373989.564526439</v>
      </c>
      <c r="Q21">
        <f t="shared" si="6"/>
        <v>37223114.714001358</v>
      </c>
    </row>
    <row r="22" spans="1:17" x14ac:dyDescent="0.25">
      <c r="A22" s="186">
        <f>IF(18&lt;='入力 Inputs'!$B$86,18,"")</f>
        <v>18</v>
      </c>
      <c r="B22" s="187">
        <f>IF(A22="","",'入力 Inputs'!$B$55+A22)</f>
        <v>64</v>
      </c>
      <c r="C22" s="43">
        <f t="shared" si="7"/>
        <v>0</v>
      </c>
      <c r="D22" s="43">
        <f>IF(A22="","",(D21-D21*'入力 Inputs'!$B$41-'入力 Inputs'!$B$57*(1+'入力 Inputs'!$B$91)^(18-1))*(1+'入力 Inputs'!$B$83))</f>
        <v>35053869.03560891</v>
      </c>
      <c r="E22" s="43" cm="1">
        <f t="array" ref="E22">IF(A22="","",IF(A22&lt;=10,D22*(1-INDEX('入力 Inputs'!$B$71:$B$80,A22)),D22))</f>
        <v>35053869.03560891</v>
      </c>
      <c r="F22" s="43">
        <f t="shared" si="0"/>
        <v>35053869.03560891</v>
      </c>
      <c r="G22" s="43">
        <f>IF(A22="","",(G21-G21*'入力 Inputs'!$B$41-'入力 Inputs'!$B$57*(1+'入力 Inputs'!$B$91)^(18-1))*(1+'入力 Inputs'!$B$84))</f>
        <v>36553177.72116822</v>
      </c>
      <c r="H22" s="43" cm="1">
        <f t="array" ref="H22">IF(A22="","",IF(A22&lt;=10,G22*(1-INDEX('入力 Inputs'!$B$71:$B$80,A22)),G22))</f>
        <v>36553177.72116822</v>
      </c>
      <c r="I22" s="43">
        <f t="shared" si="1"/>
        <v>36553177.72116822</v>
      </c>
      <c r="J22" s="43">
        <f>IF(A22="","",(J21-J21*'入力 Inputs'!$B$41-'入力 Inputs'!$B$57*(1+'入力 Inputs'!$B$91)^(18-1))*(1+'入力 Inputs'!$B$85))</f>
        <v>39768779.948251657</v>
      </c>
      <c r="K22" s="43" cm="1">
        <f t="array" ref="K22">IF(A22="","",IF(A22&lt;=10,J22*(1-INDEX('入力 Inputs'!$B$71:$B$80,A22)),J22))</f>
        <v>39768779.948251657</v>
      </c>
      <c r="L22" s="43">
        <f t="shared" si="2"/>
        <v>39768779.948251657</v>
      </c>
      <c r="M22" s="170">
        <f>IF(A22="","",D22*'入力 Inputs'!$B$64)</f>
        <v>5608619045.6974258</v>
      </c>
      <c r="N22">
        <f t="shared" si="3"/>
        <v>18</v>
      </c>
      <c r="O22">
        <f t="shared" si="4"/>
        <v>35053869.03560891</v>
      </c>
      <c r="P22">
        <f t="shared" si="5"/>
        <v>36553177.72116822</v>
      </c>
      <c r="Q22">
        <f t="shared" si="6"/>
        <v>39768779.948251657</v>
      </c>
    </row>
    <row r="23" spans="1:17" x14ac:dyDescent="0.25">
      <c r="A23" s="186">
        <f>IF(19&lt;='入力 Inputs'!$B$86,19,"")</f>
        <v>19</v>
      </c>
      <c r="B23" s="187">
        <f>IF(A23="","",'入力 Inputs'!$B$55+A23)</f>
        <v>65</v>
      </c>
      <c r="C23" s="43">
        <f t="shared" si="7"/>
        <v>0</v>
      </c>
      <c r="D23" s="43">
        <f>IF(A23="","",(D22-D22*'入力 Inputs'!$B$41-'入力 Inputs'!$B$57*(1+'入力 Inputs'!$B$91)^(19-1))*(1+'入力 Inputs'!$B$83))</f>
        <v>37189529.300137252</v>
      </c>
      <c r="E23" s="43" cm="1">
        <f t="array" ref="E23">IF(A23="","",IF(A23&lt;=10,D23*(1-INDEX('入力 Inputs'!$B$71:$B$80,A23)),D23))</f>
        <v>37189529.300137252</v>
      </c>
      <c r="F23" s="43">
        <f t="shared" si="0"/>
        <v>37189529.300137252</v>
      </c>
      <c r="G23" s="43">
        <f>IF(A23="","",(G22-G22*'入力 Inputs'!$B$41-'入力 Inputs'!$B$57*(1+'入力 Inputs'!$B$91)^(19-1))*(1+'入力 Inputs'!$B$84))</f>
        <v>38870525.593409792</v>
      </c>
      <c r="H23" s="43" cm="1">
        <f t="array" ref="H23">IF(A23="","",IF(A23&lt;=10,G23*(1-INDEX('入力 Inputs'!$B$71:$B$80,A23)),G23))</f>
        <v>38870525.593409792</v>
      </c>
      <c r="I23" s="43">
        <f t="shared" si="1"/>
        <v>38870525.593409792</v>
      </c>
      <c r="J23" s="43">
        <f>IF(A23="","",(J22-J22*'入力 Inputs'!$B$41-'入力 Inputs'!$B$57*(1+'入力 Inputs'!$B$91)^(19-1))*(1+'入力 Inputs'!$B$85))</f>
        <v>42488549.665300094</v>
      </c>
      <c r="K23" s="43" cm="1">
        <f t="array" ref="K23">IF(A23="","",IF(A23&lt;=10,J23*(1-INDEX('入力 Inputs'!$B$71:$B$80,A23)),J23))</f>
        <v>42488549.665300094</v>
      </c>
      <c r="L23" s="43">
        <f t="shared" si="2"/>
        <v>42488549.665300094</v>
      </c>
      <c r="M23" s="170">
        <f>IF(A23="","",D23*'入力 Inputs'!$B$64)</f>
        <v>5950324688.0219603</v>
      </c>
      <c r="N23">
        <f t="shared" si="3"/>
        <v>19</v>
      </c>
      <c r="O23">
        <f t="shared" si="4"/>
        <v>37189529.300137252</v>
      </c>
      <c r="P23">
        <f t="shared" si="5"/>
        <v>38870525.593409792</v>
      </c>
      <c r="Q23">
        <f t="shared" si="6"/>
        <v>42488549.665300094</v>
      </c>
    </row>
    <row r="24" spans="1:17" x14ac:dyDescent="0.25">
      <c r="A24" s="186">
        <f>IF(20&lt;='入力 Inputs'!$B$86,20,"")</f>
        <v>20</v>
      </c>
      <c r="B24" s="187">
        <f>IF(A24="","",'入力 Inputs'!$B$55+A24)</f>
        <v>66</v>
      </c>
      <c r="C24" s="43">
        <f t="shared" si="7"/>
        <v>0</v>
      </c>
      <c r="D24" s="43">
        <f>IF(A24="","",(D23-D23*'入力 Inputs'!$B$41-'入力 Inputs'!$B$57*(1+'入力 Inputs'!$B$91)^(20-1))*(1+'入力 Inputs'!$B$83))</f>
        <v>39455311.499712542</v>
      </c>
      <c r="E24" s="43" cm="1">
        <f t="array" ref="E24">IF(A24="","",IF(A24&lt;=10,D24*(1-INDEX('入力 Inputs'!$B$71:$B$80,A24)),D24))</f>
        <v>39455311.499712542</v>
      </c>
      <c r="F24" s="43">
        <f t="shared" si="0"/>
        <v>39455311.499712542</v>
      </c>
      <c r="G24" s="43">
        <f>IF(A24="","",(G23-G23*'入力 Inputs'!$B$41-'入力 Inputs'!$B$57*(1+'入力 Inputs'!$B$91)^(20-1))*(1+'入力 Inputs'!$B$84))</f>
        <v>41334792.66477441</v>
      </c>
      <c r="H24" s="43" cm="1">
        <f t="array" ref="H24">IF(A24="","",IF(A24&lt;=10,G24*(1-INDEX('入力 Inputs'!$B$71:$B$80,A24)),G24))</f>
        <v>41334792.66477441</v>
      </c>
      <c r="I24" s="43">
        <f t="shared" si="1"/>
        <v>41334792.66477441</v>
      </c>
      <c r="J24" s="43">
        <f>IF(A24="","",(J23-J23*'入力 Inputs'!$B$41-'入力 Inputs'!$B$57*(1+'入力 Inputs'!$B$91)^(20-1))*(1+'入力 Inputs'!$B$85))</f>
        <v>45394331.552520685</v>
      </c>
      <c r="K24" s="43" cm="1">
        <f t="array" ref="K24">IF(A24="","",IF(A24&lt;=10,J24*(1-INDEX('入力 Inputs'!$B$71:$B$80,A24)),J24))</f>
        <v>45394331.552520685</v>
      </c>
      <c r="L24" s="43">
        <f t="shared" si="2"/>
        <v>45394331.552520685</v>
      </c>
      <c r="M24" s="170">
        <f>IF(A24="","",D24*'入力 Inputs'!$B$64)</f>
        <v>6312849839.9540062</v>
      </c>
      <c r="N24">
        <f t="shared" si="3"/>
        <v>20</v>
      </c>
      <c r="O24">
        <f t="shared" si="4"/>
        <v>39455311.499712542</v>
      </c>
      <c r="P24">
        <f t="shared" si="5"/>
        <v>41334792.66477441</v>
      </c>
      <c r="Q24">
        <f t="shared" si="6"/>
        <v>45394331.552520685</v>
      </c>
    </row>
    <row r="25" spans="1:17" x14ac:dyDescent="0.25">
      <c r="A25" s="186">
        <f>IF(21&lt;='入力 Inputs'!$B$86,21,"")</f>
        <v>21</v>
      </c>
      <c r="B25" s="187">
        <f>IF(A25="","",'入力 Inputs'!$B$55+A25)</f>
        <v>67</v>
      </c>
      <c r="C25" s="43">
        <f t="shared" si="7"/>
        <v>0</v>
      </c>
      <c r="D25" s="43">
        <f>IF(A25="","",(D24-D24*'入力 Inputs'!$B$41-'入力 Inputs'!$B$57*(1+'入力 Inputs'!$B$91)^(21-1))*(1+'入力 Inputs'!$B$83))</f>
        <v>41859143.928579286</v>
      </c>
      <c r="E25" s="43" cm="1">
        <f t="array" ref="E25">IF(A25="","",IF(A25&lt;=10,D25*(1-INDEX('入力 Inputs'!$B$71:$B$80,A25)),D25))</f>
        <v>41859143.928579286</v>
      </c>
      <c r="F25" s="43">
        <f t="shared" si="0"/>
        <v>41859143.928579286</v>
      </c>
      <c r="G25" s="43">
        <f>IF(A25="","",(G24-G24*'入力 Inputs'!$B$41-'入力 Inputs'!$B$57*(1+'入力 Inputs'!$B$91)^(21-1))*(1+'入力 Inputs'!$B$84))</f>
        <v>43955293.786304072</v>
      </c>
      <c r="H25" s="43" cm="1">
        <f t="array" ref="H25">IF(A25="","",IF(A25&lt;=10,G25*(1-INDEX('入力 Inputs'!$B$71:$B$80,A25)),G25))</f>
        <v>43955293.786304072</v>
      </c>
      <c r="I25" s="43">
        <f t="shared" si="1"/>
        <v>43955293.786304072</v>
      </c>
      <c r="J25" s="43">
        <f>IF(A25="","",(J24-J24*'入力 Inputs'!$B$41-'入力 Inputs'!$B$57*(1+'入力 Inputs'!$B$91)^(21-1))*(1+'入力 Inputs'!$B$85))</f>
        <v>48498847.717903607</v>
      </c>
      <c r="K25" s="43" cm="1">
        <f t="array" ref="K25">IF(A25="","",IF(A25&lt;=10,J25*(1-INDEX('入力 Inputs'!$B$71:$B$80,A25)),J25))</f>
        <v>48498847.717903607</v>
      </c>
      <c r="L25" s="43">
        <f t="shared" si="2"/>
        <v>48498847.717903607</v>
      </c>
      <c r="M25" s="170">
        <f>IF(A25="","",D25*'入力 Inputs'!$B$64)</f>
        <v>6697463028.5726852</v>
      </c>
      <c r="N25">
        <f t="shared" si="3"/>
        <v>21</v>
      </c>
      <c r="O25">
        <f t="shared" si="4"/>
        <v>41859143.928579286</v>
      </c>
      <c r="P25">
        <f t="shared" si="5"/>
        <v>43955293.786304072</v>
      </c>
      <c r="Q25">
        <f t="shared" si="6"/>
        <v>48498847.717903607</v>
      </c>
    </row>
    <row r="26" spans="1:17" x14ac:dyDescent="0.25">
      <c r="A26" s="186">
        <f>IF(22&lt;='入力 Inputs'!$B$86,22,"")</f>
        <v>22</v>
      </c>
      <c r="B26" s="187">
        <f>IF(A26="","",'入力 Inputs'!$B$55+A26)</f>
        <v>68</v>
      </c>
      <c r="C26" s="43">
        <f t="shared" si="7"/>
        <v>0</v>
      </c>
      <c r="D26" s="43">
        <f>IF(A26="","",(D25-D25*'入力 Inputs'!$B$41-'入力 Inputs'!$B$57*(1+'入力 Inputs'!$B$91)^(22-1))*(1+'入力 Inputs'!$B$83))</f>
        <v>44409437.955772422</v>
      </c>
      <c r="E26" s="43" cm="1">
        <f t="array" ref="E26">IF(A26="","",IF(A26&lt;=10,D26*(1-INDEX('入力 Inputs'!$B$71:$B$80,A26)),D26))</f>
        <v>44409437.955772422</v>
      </c>
      <c r="F26" s="43">
        <f t="shared" si="0"/>
        <v>44409437.955772422</v>
      </c>
      <c r="G26" s="43">
        <f>IF(A26="","",(G25-G25*'入力 Inputs'!$B$41-'入力 Inputs'!$B$57*(1+'入力 Inputs'!$B$91)^(22-1))*(1+'入力 Inputs'!$B$84))</f>
        <v>46741934.388079569</v>
      </c>
      <c r="H26" s="43" cm="1">
        <f t="array" ref="H26">IF(A26="","",IF(A26&lt;=10,G26*(1-INDEX('入力 Inputs'!$B$71:$B$80,A26)),G26))</f>
        <v>46741934.388079569</v>
      </c>
      <c r="I26" s="43">
        <f t="shared" si="1"/>
        <v>46741934.388079569</v>
      </c>
      <c r="J26" s="43">
        <f>IF(A26="","",(J25-J25*'入力 Inputs'!$B$41-'入力 Inputs'!$B$57*(1+'入力 Inputs'!$B$91)^(22-1))*(1+'入力 Inputs'!$B$85))</f>
        <v>51815690.392183334</v>
      </c>
      <c r="K26" s="43" cm="1">
        <f t="array" ref="K26">IF(A26="","",IF(A26&lt;=10,J26*(1-INDEX('入力 Inputs'!$B$71:$B$80,A26)),J26))</f>
        <v>51815690.392183334</v>
      </c>
      <c r="L26" s="43">
        <f t="shared" si="2"/>
        <v>51815690.392183334</v>
      </c>
      <c r="M26" s="170">
        <f>IF(A26="","",D26*'入力 Inputs'!$B$64)</f>
        <v>7105510072.9235878</v>
      </c>
      <c r="N26">
        <f t="shared" si="3"/>
        <v>22</v>
      </c>
      <c r="O26">
        <f t="shared" si="4"/>
        <v>44409437.955772422</v>
      </c>
      <c r="P26">
        <f t="shared" si="5"/>
        <v>46741934.388079569</v>
      </c>
      <c r="Q26">
        <f t="shared" si="6"/>
        <v>51815690.392183334</v>
      </c>
    </row>
    <row r="27" spans="1:17" x14ac:dyDescent="0.25">
      <c r="A27" s="186">
        <f>IF(23&lt;='入力 Inputs'!$B$86,23,"")</f>
        <v>23</v>
      </c>
      <c r="B27" s="187">
        <f>IF(A27="","",'入力 Inputs'!$B$55+A27)</f>
        <v>69</v>
      </c>
      <c r="C27" s="43">
        <f t="shared" si="7"/>
        <v>0</v>
      </c>
      <c r="D27" s="43">
        <f>IF(A27="","",(D26-D26*'入力 Inputs'!$B$41-'入力 Inputs'!$B$57*(1+'入力 Inputs'!$B$91)^(23-1))*(1+'入力 Inputs'!$B$83))</f>
        <v>47115117.459276333</v>
      </c>
      <c r="E27" s="43" cm="1">
        <f t="array" ref="E27">IF(A27="","",IF(A27&lt;=10,D27*(1-INDEX('入力 Inputs'!$B$71:$B$80,A27)),D27))</f>
        <v>47115117.459276333</v>
      </c>
      <c r="F27" s="43">
        <f t="shared" si="0"/>
        <v>47115117.459276333</v>
      </c>
      <c r="G27" s="43">
        <f>IF(A27="","",(G26-G26*'入力 Inputs'!$B$41-'入力 Inputs'!$B$57*(1+'入力 Inputs'!$B$91)^(23-1))*(1+'入力 Inputs'!$B$84))</f>
        <v>49705247.923233815</v>
      </c>
      <c r="H27" s="43" cm="1">
        <f t="array" ref="H27">IF(A27="","",IF(A27&lt;=10,G27*(1-INDEX('入力 Inputs'!$B$71:$B$80,A27)),G27))</f>
        <v>49705247.923233815</v>
      </c>
      <c r="I27" s="43">
        <f t="shared" si="1"/>
        <v>49705247.923233815</v>
      </c>
      <c r="J27" s="43">
        <f>IF(A27="","",(J26-J26*'入力 Inputs'!$B$41-'入力 Inputs'!$B$57*(1+'入力 Inputs'!$B$91)^(23-1))*(1+'入力 Inputs'!$B$85))</f>
        <v>55359381.440708846</v>
      </c>
      <c r="K27" s="43" cm="1">
        <f t="array" ref="K27">IF(A27="","",IF(A27&lt;=10,J27*(1-INDEX('入力 Inputs'!$B$71:$B$80,A27)),J27))</f>
        <v>55359381.440708846</v>
      </c>
      <c r="L27" s="43">
        <f t="shared" si="2"/>
        <v>55359381.440708846</v>
      </c>
      <c r="M27" s="170">
        <f>IF(A27="","",D27*'入力 Inputs'!$B$64)</f>
        <v>7538418793.4842129</v>
      </c>
      <c r="N27">
        <f t="shared" si="3"/>
        <v>23</v>
      </c>
      <c r="O27">
        <f t="shared" si="4"/>
        <v>47115117.459276333</v>
      </c>
      <c r="P27">
        <f t="shared" si="5"/>
        <v>49705247.923233815</v>
      </c>
      <c r="Q27">
        <f t="shared" si="6"/>
        <v>55359381.440708846</v>
      </c>
    </row>
    <row r="28" spans="1:17" x14ac:dyDescent="0.25">
      <c r="A28" s="186">
        <f>IF(24&lt;='入力 Inputs'!$B$86,24,"")</f>
        <v>24</v>
      </c>
      <c r="B28" s="187">
        <f>IF(A28="","",'入力 Inputs'!$B$55+A28)</f>
        <v>70</v>
      </c>
      <c r="C28" s="43">
        <f t="shared" si="7"/>
        <v>0</v>
      </c>
      <c r="D28" s="43">
        <f>IF(A28="","",(D27-D27*'入力 Inputs'!$B$41-'入力 Inputs'!$B$57*(1+'入力 Inputs'!$B$91)^(24-1))*(1+'入力 Inputs'!$B$83))</f>
        <v>49985650.053637587</v>
      </c>
      <c r="E28" s="43" cm="1">
        <f t="array" ref="E28">IF(A28="","",IF(A28&lt;=10,D28*(1-INDEX('入力 Inputs'!$B$71:$B$80,A28)),D28))</f>
        <v>49985650.053637587</v>
      </c>
      <c r="F28" s="43">
        <f t="shared" si="0"/>
        <v>49985650.053637587</v>
      </c>
      <c r="G28" s="43">
        <f>IF(A28="","",(G27-G27*'入力 Inputs'!$B$41-'入力 Inputs'!$B$57*(1+'入力 Inputs'!$B$91)^(24-1))*(1+'入力 Inputs'!$B$84))</f>
        <v>52856435.686004095</v>
      </c>
      <c r="H28" s="43" cm="1">
        <f t="array" ref="H28">IF(A28="","",IF(A28&lt;=10,G28*(1-INDEX('入力 Inputs'!$B$71:$B$80,A28)),G28))</f>
        <v>52856435.686004095</v>
      </c>
      <c r="I28" s="43">
        <f t="shared" si="1"/>
        <v>52856435.686004095</v>
      </c>
      <c r="J28" s="43">
        <f>IF(A28="","",(J27-J27*'入力 Inputs'!$B$41-'入力 Inputs'!$B$57*(1+'入力 Inputs'!$B$91)^(24-1))*(1+'入力 Inputs'!$B$85))</f>
        <v>59145435.945622817</v>
      </c>
      <c r="K28" s="43" cm="1">
        <f t="array" ref="K28">IF(A28="","",IF(A28&lt;=10,J28*(1-INDEX('入力 Inputs'!$B$71:$B$80,A28)),J28))</f>
        <v>59145435.945622817</v>
      </c>
      <c r="L28" s="43">
        <f t="shared" si="2"/>
        <v>59145435.945622817</v>
      </c>
      <c r="M28" s="170">
        <f>IF(A28="","",D28*'入力 Inputs'!$B$64)</f>
        <v>7997704008.5820141</v>
      </c>
      <c r="N28">
        <f t="shared" si="3"/>
        <v>24</v>
      </c>
      <c r="O28">
        <f t="shared" si="4"/>
        <v>49985650.053637587</v>
      </c>
      <c r="P28">
        <f t="shared" si="5"/>
        <v>52856435.686004095</v>
      </c>
      <c r="Q28">
        <f t="shared" si="6"/>
        <v>59145435.945622817</v>
      </c>
    </row>
    <row r="29" spans="1:17" x14ac:dyDescent="0.25">
      <c r="A29" s="186">
        <f>IF(25&lt;='入力 Inputs'!$B$86,25,"")</f>
        <v>25</v>
      </c>
      <c r="B29" s="187">
        <f>IF(A29="","",'入力 Inputs'!$B$55+A29)</f>
        <v>71</v>
      </c>
      <c r="C29" s="43">
        <f t="shared" si="7"/>
        <v>0</v>
      </c>
      <c r="D29" s="43">
        <f>IF(A29="","",(D28-D28*'入力 Inputs'!$B$41-'入力 Inputs'!$B$57*(1+'入力 Inputs'!$B$91)^(25-1))*(1+'入力 Inputs'!$B$83))</f>
        <v>53031080.220308676</v>
      </c>
      <c r="E29" s="43" cm="1">
        <f t="array" ref="E29">IF(A29="","",IF(A29&lt;=10,D29*(1-INDEX('入力 Inputs'!$B$71:$B$80,A29)),D29))</f>
        <v>53031080.220308676</v>
      </c>
      <c r="F29" s="43">
        <f t="shared" si="0"/>
        <v>53031080.220308676</v>
      </c>
      <c r="G29" s="43">
        <f>IF(A29="","",(G28-G28*'入力 Inputs'!$B$41-'入力 Inputs'!$B$57*(1+'入力 Inputs'!$B$91)^(25-1))*(1+'入力 Inputs'!$B$84))</f>
        <v>56207409.154342949</v>
      </c>
      <c r="H29" s="43" cm="1">
        <f t="array" ref="H29">IF(A29="","",IF(A29&lt;=10,G29*(1-INDEX('入力 Inputs'!$B$71:$B$80,A29)),G29))</f>
        <v>56207409.154342949</v>
      </c>
      <c r="I29" s="43">
        <f t="shared" si="1"/>
        <v>56207409.154342949</v>
      </c>
      <c r="J29" s="43">
        <f>IF(A29="","",(J28-J28*'入力 Inputs'!$B$41-'入力 Inputs'!$B$57*(1+'入力 Inputs'!$B$91)^(25-1))*(1+'入力 Inputs'!$B$85))</f>
        <v>63190430.13673868</v>
      </c>
      <c r="K29" s="43" cm="1">
        <f t="array" ref="K29">IF(A29="","",IF(A29&lt;=10,J29*(1-INDEX('入力 Inputs'!$B$71:$B$80,A29)),J29))</f>
        <v>63190430.13673868</v>
      </c>
      <c r="L29" s="43">
        <f t="shared" si="2"/>
        <v>63190430.13673868</v>
      </c>
      <c r="M29" s="170">
        <f>IF(A29="","",D29*'入力 Inputs'!$B$64)</f>
        <v>8484972835.2493877</v>
      </c>
      <c r="N29">
        <f t="shared" si="3"/>
        <v>25</v>
      </c>
      <c r="O29">
        <f t="shared" si="4"/>
        <v>53031080.220308676</v>
      </c>
      <c r="P29">
        <f t="shared" si="5"/>
        <v>56207409.154342949</v>
      </c>
      <c r="Q29">
        <f t="shared" si="6"/>
        <v>63190430.13673868</v>
      </c>
    </row>
    <row r="30" spans="1:17" x14ac:dyDescent="0.25">
      <c r="A30" s="186">
        <f>IF(26&lt;='入力 Inputs'!$B$86,26,"")</f>
        <v>26</v>
      </c>
      <c r="B30" s="187">
        <f>IF(A30="","",'入力 Inputs'!$B$55+A30)</f>
        <v>72</v>
      </c>
      <c r="C30" s="43">
        <f t="shared" si="7"/>
        <v>0</v>
      </c>
      <c r="D30" s="43">
        <f>IF(A30="","",(D29-D29*'入力 Inputs'!$B$41-'入力 Inputs'!$B$57*(1+'入力 Inputs'!$B$91)^(26-1))*(1+'入力 Inputs'!$B$83))</f>
        <v>56262064.456658177</v>
      </c>
      <c r="E30" s="43" cm="1">
        <f t="array" ref="E30">IF(A30="","",IF(A30&lt;=10,D30*(1-INDEX('入力 Inputs'!$B$71:$B$80,A30)),D30))</f>
        <v>56262064.456658177</v>
      </c>
      <c r="F30" s="43">
        <f t="shared" si="0"/>
        <v>56262064.456658177</v>
      </c>
      <c r="G30" s="43">
        <f>IF(A30="","",(G29-G29*'入力 Inputs'!$B$41-'入力 Inputs'!$B$57*(1+'入力 Inputs'!$B$91)^(26-1))*(1+'入力 Inputs'!$B$84))</f>
        <v>59770835.017150864</v>
      </c>
      <c r="H30" s="43" cm="1">
        <f t="array" ref="H30">IF(A30="","",IF(A30&lt;=10,G30*(1-INDEX('入力 Inputs'!$B$71:$B$80,A30)),G30))</f>
        <v>59770835.017150864</v>
      </c>
      <c r="I30" s="43">
        <f t="shared" si="1"/>
        <v>59770835.017150864</v>
      </c>
      <c r="J30" s="43">
        <f>IF(A30="","",(J29-J29*'入力 Inputs'!$B$41-'入力 Inputs'!$B$57*(1+'入力 Inputs'!$B$91)^(26-1))*(1+'入力 Inputs'!$B$85))</f>
        <v>67512073.968544364</v>
      </c>
      <c r="K30" s="43" cm="1">
        <f t="array" ref="K30">IF(A30="","",IF(A30&lt;=10,J30*(1-INDEX('入力 Inputs'!$B$71:$B$80,A30)),J30))</f>
        <v>67512073.968544364</v>
      </c>
      <c r="L30" s="43">
        <f t="shared" si="2"/>
        <v>67512073.968544364</v>
      </c>
      <c r="M30" s="170">
        <f>IF(A30="","",D30*'入力 Inputs'!$B$64)</f>
        <v>9001930313.0653076</v>
      </c>
      <c r="N30">
        <f t="shared" si="3"/>
        <v>26</v>
      </c>
      <c r="O30">
        <f t="shared" si="4"/>
        <v>56262064.456658177</v>
      </c>
      <c r="P30">
        <f t="shared" si="5"/>
        <v>59770835.017150864</v>
      </c>
      <c r="Q30">
        <f t="shared" si="6"/>
        <v>67512073.968544364</v>
      </c>
    </row>
    <row r="31" spans="1:17" x14ac:dyDescent="0.25">
      <c r="A31" s="186">
        <f>IF(27&lt;='入力 Inputs'!$B$86,27,"")</f>
        <v>27</v>
      </c>
      <c r="B31" s="187">
        <f>IF(A31="","",'入力 Inputs'!$B$55+A31)</f>
        <v>73</v>
      </c>
      <c r="C31" s="43">
        <f t="shared" si="7"/>
        <v>0</v>
      </c>
      <c r="D31" s="43">
        <f>IF(A31="","",(D30-D30*'入力 Inputs'!$B$41-'入力 Inputs'!$B$57*(1+'入力 Inputs'!$B$91)^(27-1))*(1+'入力 Inputs'!$B$83))</f>
        <v>59689908.566647083</v>
      </c>
      <c r="E31" s="43" cm="1">
        <f t="array" ref="E31">IF(A31="","",IF(A31&lt;=10,D31*(1-INDEX('入力 Inputs'!$B$71:$B$80,A31)),D31))</f>
        <v>59689908.566647083</v>
      </c>
      <c r="F31" s="43">
        <f t="shared" si="0"/>
        <v>59689908.566647083</v>
      </c>
      <c r="G31" s="43">
        <f>IF(A31="","",(G30-G30*'入力 Inputs'!$B$41-'入力 Inputs'!$B$57*(1+'入力 Inputs'!$B$91)^(27-1))*(1+'入力 Inputs'!$B$84))</f>
        <v>63560183.056342445</v>
      </c>
      <c r="H31" s="43" cm="1">
        <f t="array" ref="H31">IF(A31="","",IF(A31&lt;=10,G31*(1-INDEX('入力 Inputs'!$B$71:$B$80,A31)),G31))</f>
        <v>63560183.056342445</v>
      </c>
      <c r="I31" s="43">
        <f t="shared" si="1"/>
        <v>63560183.056342445</v>
      </c>
      <c r="J31" s="43">
        <f>IF(A31="","",(J30-J30*'入力 Inputs'!$B$41-'入力 Inputs'!$B$57*(1+'入力 Inputs'!$B$91)^(27-1))*(1+'入力 Inputs'!$B$85))</f>
        <v>72129288.661104515</v>
      </c>
      <c r="K31" s="43" cm="1">
        <f t="array" ref="K31">IF(A31="","",IF(A31&lt;=10,J31*(1-INDEX('入力 Inputs'!$B$71:$B$80,A31)),J31))</f>
        <v>72129288.661104515</v>
      </c>
      <c r="L31" s="43">
        <f t="shared" si="2"/>
        <v>72129288.661104515</v>
      </c>
      <c r="M31" s="170">
        <f>IF(A31="","",D31*'入力 Inputs'!$B$64)</f>
        <v>9550385370.6635323</v>
      </c>
      <c r="N31">
        <f t="shared" si="3"/>
        <v>27</v>
      </c>
      <c r="O31">
        <f t="shared" si="4"/>
        <v>59689908.566647083</v>
      </c>
      <c r="P31">
        <f t="shared" si="5"/>
        <v>63560183.056342445</v>
      </c>
      <c r="Q31">
        <f t="shared" si="6"/>
        <v>72129288.661104515</v>
      </c>
    </row>
    <row r="32" spans="1:17" x14ac:dyDescent="0.25">
      <c r="A32" s="186">
        <f>IF(28&lt;='入力 Inputs'!$B$86,28,"")</f>
        <v>28</v>
      </c>
      <c r="B32" s="187">
        <f>IF(A32="","",'入力 Inputs'!$B$55+A32)</f>
        <v>74</v>
      </c>
      <c r="C32" s="43">
        <f t="shared" si="7"/>
        <v>0</v>
      </c>
      <c r="D32" s="43">
        <f>IF(A32="","",(D31-D31*'入力 Inputs'!$B$41-'入力 Inputs'!$B$57*(1+'入力 Inputs'!$B$91)^(28-1))*(1+'入力 Inputs'!$B$83))</f>
        <v>63326607.223665342</v>
      </c>
      <c r="E32" s="43" cm="1">
        <f t="array" ref="E32">IF(A32="","",IF(A32&lt;=10,D32*(1-INDEX('入力 Inputs'!$B$71:$B$80,A32)),D32))</f>
        <v>63326607.223665342</v>
      </c>
      <c r="F32" s="43">
        <f t="shared" si="0"/>
        <v>63326607.223665342</v>
      </c>
      <c r="G32" s="43">
        <f>IF(A32="","",(G31-G31*'入力 Inputs'!$B$41-'入力 Inputs'!$B$57*(1+'入力 Inputs'!$B$91)^(28-1))*(1+'入力 Inputs'!$B$84))</f>
        <v>67589777.064749375</v>
      </c>
      <c r="H32" s="43" cm="1">
        <f t="array" ref="H32">IF(A32="","",IF(A32&lt;=10,G32*(1-INDEX('入力 Inputs'!$B$71:$B$80,A32)),G32))</f>
        <v>67589777.064749375</v>
      </c>
      <c r="I32" s="43">
        <f t="shared" si="1"/>
        <v>67589777.064749375</v>
      </c>
      <c r="J32" s="43">
        <f>IF(A32="","",(J31-J31*'入力 Inputs'!$B$41-'入力 Inputs'!$B$57*(1+'入力 Inputs'!$B$91)^(28-1))*(1+'入力 Inputs'!$B$85))</f>
        <v>77062289.544366747</v>
      </c>
      <c r="K32" s="43" cm="1">
        <f t="array" ref="K32">IF(A32="","",IF(A32&lt;=10,J32*(1-INDEX('入力 Inputs'!$B$71:$B$80,A32)),J32))</f>
        <v>77062289.544366747</v>
      </c>
      <c r="L32" s="43">
        <f t="shared" si="2"/>
        <v>77062289.544366747</v>
      </c>
      <c r="M32" s="170">
        <f>IF(A32="","",D32*'入力 Inputs'!$B$64)</f>
        <v>10132257155.786455</v>
      </c>
      <c r="N32">
        <f t="shared" si="3"/>
        <v>28</v>
      </c>
      <c r="O32">
        <f t="shared" si="4"/>
        <v>63326607.223665342</v>
      </c>
      <c r="P32">
        <f t="shared" si="5"/>
        <v>67589777.064749375</v>
      </c>
      <c r="Q32">
        <f t="shared" si="6"/>
        <v>77062289.544366747</v>
      </c>
    </row>
    <row r="33" spans="1:17" x14ac:dyDescent="0.25">
      <c r="A33" s="186">
        <f>IF(29&lt;='入力 Inputs'!$B$86,29,"")</f>
        <v>29</v>
      </c>
      <c r="B33" s="187">
        <f>IF(A33="","",'入力 Inputs'!$B$55+A33)</f>
        <v>75</v>
      </c>
      <c r="C33" s="43">
        <f t="shared" si="7"/>
        <v>0</v>
      </c>
      <c r="D33" s="43">
        <f>IF(A33="","",(D32-D32*'入力 Inputs'!$B$41-'入力 Inputs'!$B$57*(1+'入力 Inputs'!$B$91)^(29-1))*(1+'入力 Inputs'!$B$83))</f>
        <v>67184885.943973988</v>
      </c>
      <c r="E33" s="43" cm="1">
        <f t="array" ref="E33">IF(A33="","",IF(A33&lt;=10,D33*(1-INDEX('入力 Inputs'!$B$71:$B$80,A33)),D33))</f>
        <v>67184885.943973988</v>
      </c>
      <c r="F33" s="43">
        <f t="shared" si="0"/>
        <v>67184885.943973988</v>
      </c>
      <c r="G33" s="43">
        <f>IF(A33="","",(G32-G32*'入力 Inputs'!$B$41-'入力 Inputs'!$B$57*(1+'入力 Inputs'!$B$91)^(29-1))*(1+'入力 Inputs'!$B$84))</f>
        <v>71874848.992339641</v>
      </c>
      <c r="H33" s="43" cm="1">
        <f t="array" ref="H33">IF(A33="","",IF(A33&lt;=10,G33*(1-INDEX('入力 Inputs'!$B$71:$B$80,A33)),G33))</f>
        <v>71874848.992339641</v>
      </c>
      <c r="I33" s="43">
        <f t="shared" si="1"/>
        <v>71874848.992339641</v>
      </c>
      <c r="J33" s="43">
        <f>IF(A33="","",(J32-J32*'入力 Inputs'!$B$41-'入力 Inputs'!$B$57*(1+'入力 Inputs'!$B$91)^(29-1))*(1+'入力 Inputs'!$B$85))</f>
        <v>82332674.568598285</v>
      </c>
      <c r="K33" s="43" cm="1">
        <f t="array" ref="K33">IF(A33="","",IF(A33&lt;=10,J33*(1-INDEX('入力 Inputs'!$B$71:$B$80,A33)),J33))</f>
        <v>82332674.568598285</v>
      </c>
      <c r="L33" s="43">
        <f t="shared" si="2"/>
        <v>82332674.568598285</v>
      </c>
      <c r="M33" s="170">
        <f>IF(A33="","",D33*'入力 Inputs'!$B$64)</f>
        <v>10749581751.035839</v>
      </c>
      <c r="N33">
        <f t="shared" si="3"/>
        <v>29</v>
      </c>
      <c r="O33">
        <f t="shared" si="4"/>
        <v>67184885.943973988</v>
      </c>
      <c r="P33">
        <f t="shared" si="5"/>
        <v>71874848.992339641</v>
      </c>
      <c r="Q33">
        <f t="shared" si="6"/>
        <v>82332674.568598285</v>
      </c>
    </row>
    <row r="34" spans="1:17" x14ac:dyDescent="0.25">
      <c r="A34" s="186">
        <f>IF(30&lt;='入力 Inputs'!$B$86,30,"")</f>
        <v>30</v>
      </c>
      <c r="B34" s="187">
        <f>IF(A34="","",'入力 Inputs'!$B$55+A34)</f>
        <v>76</v>
      </c>
      <c r="C34" s="43">
        <f t="shared" si="7"/>
        <v>0</v>
      </c>
      <c r="D34" s="43">
        <f>IF(A34="","",(D33-D33*'入力 Inputs'!$B$41-'入力 Inputs'!$B$57*(1+'入力 Inputs'!$B$91)^(30-1))*(1+'入力 Inputs'!$B$83))</f>
        <v>71278245.617633775</v>
      </c>
      <c r="E34" s="43" cm="1">
        <f t="array" ref="E34">IF(A34="","",IF(A34&lt;=10,D34*(1-INDEX('入力 Inputs'!$B$71:$B$80,A34)),D34))</f>
        <v>71278245.617633775</v>
      </c>
      <c r="F34" s="43">
        <f t="shared" si="0"/>
        <v>71278245.617633775</v>
      </c>
      <c r="G34" s="43">
        <f>IF(A34="","",(G33-G33*'入力 Inputs'!$B$41-'入力 Inputs'!$B$57*(1+'入力 Inputs'!$B$91)^(30-1))*(1+'入力 Inputs'!$B$84))</f>
        <v>76431596.525436223</v>
      </c>
      <c r="H34" s="43" cm="1">
        <f t="array" ref="H34">IF(A34="","",IF(A34&lt;=10,G34*(1-INDEX('入力 Inputs'!$B$71:$B$80,A34)),G34))</f>
        <v>76431596.525436223</v>
      </c>
      <c r="I34" s="43">
        <f t="shared" si="1"/>
        <v>76431596.525436223</v>
      </c>
      <c r="J34" s="43">
        <f>IF(A34="","",(J33-J33*'入力 Inputs'!$B$41-'入力 Inputs'!$B$57*(1+'入力 Inputs'!$B$91)^(30-1))*(1+'入力 Inputs'!$B$85))</f>
        <v>87963518.868487492</v>
      </c>
      <c r="K34" s="43" cm="1">
        <f t="array" ref="K34">IF(A34="","",IF(A34&lt;=10,J34*(1-INDEX('入力 Inputs'!$B$71:$B$80,A34)),J34))</f>
        <v>87963518.868487492</v>
      </c>
      <c r="L34" s="43">
        <f t="shared" si="2"/>
        <v>87963518.868487492</v>
      </c>
      <c r="M34" s="170">
        <f>IF(A34="","",D34*'入力 Inputs'!$B$64)</f>
        <v>11404519298.821404</v>
      </c>
      <c r="N34">
        <f t="shared" si="3"/>
        <v>30</v>
      </c>
      <c r="O34">
        <f t="shared" si="4"/>
        <v>71278245.617633775</v>
      </c>
      <c r="P34">
        <f t="shared" si="5"/>
        <v>76431596.525436223</v>
      </c>
      <c r="Q34">
        <f t="shared" si="6"/>
        <v>87963518.868487492</v>
      </c>
    </row>
    <row r="35" spans="1:17" x14ac:dyDescent="0.25">
      <c r="A35" s="186">
        <f>IF(31&lt;='入力 Inputs'!$B$86,31,"")</f>
        <v>31</v>
      </c>
      <c r="B35" s="187">
        <f>IF(A35="","",'入力 Inputs'!$B$55+A35)</f>
        <v>77</v>
      </c>
      <c r="C35" s="43">
        <f t="shared" si="7"/>
        <v>0</v>
      </c>
      <c r="D35" s="43">
        <f>IF(A35="","",(D34-D34*'入力 Inputs'!$B$41-'入力 Inputs'!$B$57*(1+'入力 Inputs'!$B$91)^(31-1))*(1+'入力 Inputs'!$B$83))</f>
        <v>75621009.752750829</v>
      </c>
      <c r="E35" s="43" cm="1">
        <f t="array" ref="E35">IF(A35="","",IF(A35&lt;=10,D35*(1-INDEX('入力 Inputs'!$B$71:$B$80,A35)),D35))</f>
        <v>75621009.752750829</v>
      </c>
      <c r="F35" s="43">
        <f t="shared" si="0"/>
        <v>75621009.752750829</v>
      </c>
      <c r="G35" s="43">
        <f>IF(A35="","",(G34-G34*'入力 Inputs'!$B$41-'入力 Inputs'!$B$57*(1+'入力 Inputs'!$B$91)^(31-1))*(1+'入力 Inputs'!$B$84))</f>
        <v>81277244.316595748</v>
      </c>
      <c r="H35" s="43" cm="1">
        <f t="array" ref="H35">IF(A35="","",IF(A35&lt;=10,G35*(1-INDEX('入力 Inputs'!$B$71:$B$80,A35)),G35))</f>
        <v>81277244.316595748</v>
      </c>
      <c r="I35" s="43">
        <f t="shared" si="1"/>
        <v>81277244.316595748</v>
      </c>
      <c r="J35" s="43">
        <f>IF(A35="","",(J34-J34*'入力 Inputs'!$B$41-'入力 Inputs'!$B$57*(1+'入力 Inputs'!$B$91)^(31-1))*(1+'入力 Inputs'!$B$85))</f>
        <v>93979475.794950709</v>
      </c>
      <c r="K35" s="43" cm="1">
        <f t="array" ref="K35">IF(A35="","",IF(A35&lt;=10,J35*(1-INDEX('入力 Inputs'!$B$71:$B$80,A35)),J35))</f>
        <v>93979475.794950709</v>
      </c>
      <c r="L35" s="43">
        <f t="shared" si="2"/>
        <v>93979475.794950709</v>
      </c>
      <c r="M35" s="170">
        <f>IF(A35="","",D35*'入力 Inputs'!$B$64)</f>
        <v>12099361560.440132</v>
      </c>
      <c r="N35">
        <f t="shared" si="3"/>
        <v>31</v>
      </c>
      <c r="O35">
        <f t="shared" si="4"/>
        <v>75621009.752750829</v>
      </c>
      <c r="P35">
        <f t="shared" si="5"/>
        <v>81277244.316595748</v>
      </c>
      <c r="Q35">
        <f t="shared" si="6"/>
        <v>93979475.794950709</v>
      </c>
    </row>
    <row r="36" spans="1:17" x14ac:dyDescent="0.25">
      <c r="A36" s="186">
        <f>IF(32&lt;='入力 Inputs'!$B$86,32,"")</f>
        <v>32</v>
      </c>
      <c r="B36" s="187">
        <f>IF(A36="","",'入力 Inputs'!$B$55+A36)</f>
        <v>78</v>
      </c>
      <c r="C36" s="43">
        <f t="shared" si="7"/>
        <v>0</v>
      </c>
      <c r="D36" s="43">
        <f>IF(A36="","",(D35-D35*'入力 Inputs'!$B$41-'入力 Inputs'!$B$57*(1+'入力 Inputs'!$B$91)^(32-1))*(1+'入力 Inputs'!$B$83))</f>
        <v>80228374.598364934</v>
      </c>
      <c r="E36" s="43" cm="1">
        <f t="array" ref="E36">IF(A36="","",IF(A36&lt;=10,D36*(1-INDEX('入力 Inputs'!$B$71:$B$80,A36)),D36))</f>
        <v>80228374.598364934</v>
      </c>
      <c r="F36" s="43">
        <f t="shared" si="0"/>
        <v>80228374.598364934</v>
      </c>
      <c r="G36" s="43">
        <f>IF(A36="","",(G35-G35*'入力 Inputs'!$B$41-'入力 Inputs'!$B$57*(1+'入力 Inputs'!$B$91)^(32-1))*(1+'入力 Inputs'!$B$84))</f>
        <v>86430109.096607924</v>
      </c>
      <c r="H36" s="43" cm="1">
        <f t="array" ref="H36">IF(A36="","",IF(A36&lt;=10,G36*(1-INDEX('入力 Inputs'!$B$71:$B$80,A36)),G36))</f>
        <v>86430109.096607924</v>
      </c>
      <c r="I36" s="43">
        <f t="shared" si="1"/>
        <v>86430109.096607924</v>
      </c>
      <c r="J36" s="43">
        <f>IF(A36="","",(J35-J35*'入力 Inputs'!$B$41-'入力 Inputs'!$B$57*(1+'入力 Inputs'!$B$91)^(32-1))*(1+'入力 Inputs'!$B$85))</f>
        <v>100406884.85700296</v>
      </c>
      <c r="K36" s="43" cm="1">
        <f t="array" ref="K36">IF(A36="","",IF(A36&lt;=10,J36*(1-INDEX('入力 Inputs'!$B$71:$B$80,A36)),J36))</f>
        <v>100406884.85700296</v>
      </c>
      <c r="L36" s="43">
        <f t="shared" si="2"/>
        <v>100406884.85700296</v>
      </c>
      <c r="M36" s="170">
        <f>IF(A36="","",D36*'入力 Inputs'!$B$64)</f>
        <v>12836539935.73839</v>
      </c>
      <c r="N36">
        <f t="shared" si="3"/>
        <v>32</v>
      </c>
      <c r="O36">
        <f t="shared" si="4"/>
        <v>80228374.598364934</v>
      </c>
      <c r="P36">
        <f t="shared" si="5"/>
        <v>86430109.096607924</v>
      </c>
      <c r="Q36">
        <f t="shared" si="6"/>
        <v>100406884.85700296</v>
      </c>
    </row>
    <row r="37" spans="1:17" x14ac:dyDescent="0.25">
      <c r="A37" s="186">
        <f>IF(33&lt;='入力 Inputs'!$B$86,33,"")</f>
        <v>33</v>
      </c>
      <c r="B37" s="187">
        <f>IF(A37="","",'入力 Inputs'!$B$55+A37)</f>
        <v>79</v>
      </c>
      <c r="C37" s="43">
        <f t="shared" si="7"/>
        <v>0</v>
      </c>
      <c r="D37" s="43">
        <f>IF(A37="","",(D36-D36*'入力 Inputs'!$B$41-'入力 Inputs'!$B$57*(1+'入力 Inputs'!$B$91)^(33-1))*(1+'入力 Inputs'!$B$83))</f>
        <v>85116462.321379319</v>
      </c>
      <c r="E37" s="43" cm="1">
        <f t="array" ref="E37">IF(A37="","",IF(A37&lt;=10,D37*(1-INDEX('入力 Inputs'!$B$71:$B$80,A37)),D37))</f>
        <v>85116462.321379319</v>
      </c>
      <c r="F37" s="43">
        <f t="shared" ref="F37:F68" si="8">IF(A37="","",D37)</f>
        <v>85116462.321379319</v>
      </c>
      <c r="G37" s="43">
        <f>IF(A37="","",(G36-G36*'入力 Inputs'!$B$41-'入力 Inputs'!$B$57*(1+'入力 Inputs'!$B$91)^(33-1))*(1+'入力 Inputs'!$B$84))</f>
        <v>91909668.914751709</v>
      </c>
      <c r="H37" s="43" cm="1">
        <f t="array" ref="H37">IF(A37="","",IF(A37&lt;=10,G37*(1-INDEX('入力 Inputs'!$B$71:$B$80,A37)),G37))</f>
        <v>91909668.914751709</v>
      </c>
      <c r="I37" s="43">
        <f t="shared" ref="I37:I68" si="9">IF(A37="","",G37)</f>
        <v>91909668.914751709</v>
      </c>
      <c r="J37" s="43">
        <f>IF(A37="","",(J36-J36*'入力 Inputs'!$B$41-'入力 Inputs'!$B$57*(1+'入力 Inputs'!$B$91)^(33-1))*(1+'入力 Inputs'!$B$85))</f>
        <v>107273887.04630598</v>
      </c>
      <c r="K37" s="43" cm="1">
        <f t="array" ref="K37">IF(A37="","",IF(A37&lt;=10,J37*(1-INDEX('入力 Inputs'!$B$71:$B$80,A37)),J37))</f>
        <v>107273887.04630598</v>
      </c>
      <c r="L37" s="43">
        <f t="shared" ref="L37:L68" si="10">IF(A37="","",J37)</f>
        <v>107273887.04630598</v>
      </c>
      <c r="M37" s="170">
        <f>IF(A37="","",D37*'入力 Inputs'!$B$64)</f>
        <v>13618633971.420691</v>
      </c>
      <c r="N37">
        <f t="shared" ref="N37:N68" si="11">A37</f>
        <v>33</v>
      </c>
      <c r="O37">
        <f t="shared" ref="O37:O68" si="12">IF(A37="","",D37)</f>
        <v>85116462.321379319</v>
      </c>
      <c r="P37">
        <f t="shared" ref="P37:P68" si="13">IF(A37="","",G37)</f>
        <v>91909668.914751709</v>
      </c>
      <c r="Q37">
        <f t="shared" ref="Q37:Q68" si="14">IF(A37="","",J37)</f>
        <v>107273887.04630598</v>
      </c>
    </row>
    <row r="38" spans="1:17" x14ac:dyDescent="0.25">
      <c r="A38" s="186">
        <f>IF(34&lt;='入力 Inputs'!$B$86,34,"")</f>
        <v>34</v>
      </c>
      <c r="B38" s="187">
        <f>IF(A38="","",'入力 Inputs'!$B$55+A38)</f>
        <v>80</v>
      </c>
      <c r="C38" s="43">
        <f t="shared" ref="C38:C69" si="15">IF(A38="","",0)</f>
        <v>0</v>
      </c>
      <c r="D38" s="43">
        <f>IF(A38="","",(D37-D37*'入力 Inputs'!$B$41-'入力 Inputs'!$B$57*(1+'入力 Inputs'!$B$91)^(34-1))*(1+'入力 Inputs'!$B$83))</f>
        <v>90302377.423618302</v>
      </c>
      <c r="E38" s="43" cm="1">
        <f t="array" ref="E38">IF(A38="","",IF(A38&lt;=10,D38*(1-INDEX('入力 Inputs'!$B$71:$B$80,A38)),D38))</f>
        <v>90302377.423618302</v>
      </c>
      <c r="F38" s="43">
        <f t="shared" si="8"/>
        <v>90302377.423618302</v>
      </c>
      <c r="G38" s="43">
        <f>IF(A38="","",(G37-G37*'入力 Inputs'!$B$41-'入力 Inputs'!$B$57*(1+'入力 Inputs'!$B$91)^(34-1))*(1+'入力 Inputs'!$B$84))</f>
        <v>97736636.769049734</v>
      </c>
      <c r="H38" s="43" cm="1">
        <f t="array" ref="H38">IF(A38="","",IF(A38&lt;=10,G38*(1-INDEX('入力 Inputs'!$B$71:$B$80,A38)),G38))</f>
        <v>97736636.769049734</v>
      </c>
      <c r="I38" s="43">
        <f t="shared" si="9"/>
        <v>97736636.769049734</v>
      </c>
      <c r="J38" s="43">
        <f>IF(A38="","",(J37-J37*'入力 Inputs'!$B$41-'入力 Inputs'!$B$57*(1+'入力 Inputs'!$B$91)^(34-1))*(1+'入力 Inputs'!$B$85))</f>
        <v>114610548.04933164</v>
      </c>
      <c r="K38" s="43" cm="1">
        <f t="array" ref="K38">IF(A38="","",IF(A38&lt;=10,J38*(1-INDEX('入力 Inputs'!$B$71:$B$80,A38)),J38))</f>
        <v>114610548.04933164</v>
      </c>
      <c r="L38" s="43">
        <f t="shared" si="10"/>
        <v>114610548.04933164</v>
      </c>
      <c r="M38" s="170">
        <f>IF(A38="","",D38*'入力 Inputs'!$B$64)</f>
        <v>14448380387.778929</v>
      </c>
      <c r="N38">
        <f t="shared" si="11"/>
        <v>34</v>
      </c>
      <c r="O38">
        <f t="shared" si="12"/>
        <v>90302377.423618302</v>
      </c>
      <c r="P38">
        <f t="shared" si="13"/>
        <v>97736636.769049734</v>
      </c>
      <c r="Q38">
        <f t="shared" si="14"/>
        <v>114610548.04933164</v>
      </c>
    </row>
    <row r="39" spans="1:17" x14ac:dyDescent="0.25">
      <c r="A39" s="186">
        <f>IF(35&lt;='入力 Inputs'!$B$86,35,"")</f>
        <v>35</v>
      </c>
      <c r="B39" s="187">
        <f>IF(A39="","",'入力 Inputs'!$B$55+A39)</f>
        <v>81</v>
      </c>
      <c r="C39" s="43">
        <f t="shared" si="15"/>
        <v>0</v>
      </c>
      <c r="D39" s="43">
        <f>IF(A39="","",(D38-D38*'入力 Inputs'!$B$41-'入力 Inputs'!$B$57*(1+'入力 Inputs'!$B$91)^(35-1))*(1+'入力 Inputs'!$B$83))</f>
        <v>95804266.59643738</v>
      </c>
      <c r="E39" s="43" cm="1">
        <f t="array" ref="E39">IF(A39="","",IF(A39&lt;=10,D39*(1-INDEX('入力 Inputs'!$B$71:$B$80,A39)),D39))</f>
        <v>95804266.59643738</v>
      </c>
      <c r="F39" s="43">
        <f t="shared" si="8"/>
        <v>95804266.59643738</v>
      </c>
      <c r="G39" s="43">
        <f>IF(A39="","",(G38-G38*'入力 Inputs'!$B$41-'入力 Inputs'!$B$57*(1+'入力 Inputs'!$B$91)^(35-1))*(1+'入力 Inputs'!$B$84))</f>
        <v>103933038.90485781</v>
      </c>
      <c r="H39" s="43" cm="1">
        <f t="array" ref="H39">IF(A39="","",IF(A39&lt;=10,G39*(1-INDEX('入力 Inputs'!$B$71:$B$80,A39)),G39))</f>
        <v>103933038.90485781</v>
      </c>
      <c r="I39" s="43">
        <f t="shared" si="9"/>
        <v>103933038.90485781</v>
      </c>
      <c r="J39" s="43">
        <f>IF(A39="","",(J38-J38*'入力 Inputs'!$B$41-'入力 Inputs'!$B$57*(1+'入力 Inputs'!$B$91)^(35-1))*(1+'入力 Inputs'!$B$85))</f>
        <v>122448989.88661404</v>
      </c>
      <c r="K39" s="43" cm="1">
        <f t="array" ref="K39">IF(A39="","",IF(A39&lt;=10,J39*(1-INDEX('入力 Inputs'!$B$71:$B$80,A39)),J39))</f>
        <v>122448989.88661404</v>
      </c>
      <c r="L39" s="43">
        <f t="shared" si="10"/>
        <v>122448989.88661404</v>
      </c>
      <c r="M39" s="170">
        <f>IF(A39="","",D39*'入力 Inputs'!$B$64)</f>
        <v>15328682655.429981</v>
      </c>
      <c r="N39">
        <f t="shared" si="11"/>
        <v>35</v>
      </c>
      <c r="O39">
        <f t="shared" si="12"/>
        <v>95804266.59643738</v>
      </c>
      <c r="P39">
        <f t="shared" si="13"/>
        <v>103933038.90485781</v>
      </c>
      <c r="Q39">
        <f t="shared" si="14"/>
        <v>122448989.88661404</v>
      </c>
    </row>
    <row r="40" spans="1:17" x14ac:dyDescent="0.25">
      <c r="A40" s="186">
        <f>IF(36&lt;='入力 Inputs'!$B$86,36,"")</f>
        <v>36</v>
      </c>
      <c r="B40" s="187">
        <f>IF(A40="","",'入力 Inputs'!$B$55+A40)</f>
        <v>82</v>
      </c>
      <c r="C40" s="43">
        <f t="shared" si="15"/>
        <v>0</v>
      </c>
      <c r="D40" s="43">
        <f>IF(A40="","",(D39-D39*'入力 Inputs'!$B$41-'入力 Inputs'!$B$57*(1+'入力 Inputs'!$B$91)^(36-1))*(1+'入力 Inputs'!$B$83))</f>
        <v>101641382.22233988</v>
      </c>
      <c r="E40" s="43" cm="1">
        <f t="array" ref="E40">IF(A40="","",IF(A40&lt;=10,D40*(1-INDEX('入力 Inputs'!$B$71:$B$80,A40)),D40))</f>
        <v>101641382.22233988</v>
      </c>
      <c r="F40" s="43">
        <f t="shared" si="8"/>
        <v>101641382.22233988</v>
      </c>
      <c r="G40" s="43">
        <f>IF(A40="","",(G39-G39*'入力 Inputs'!$B$41-'入力 Inputs'!$B$57*(1+'入力 Inputs'!$B$91)^(36-1))*(1+'入力 Inputs'!$B$84))</f>
        <v>110522298.07777321</v>
      </c>
      <c r="H40" s="43" cm="1">
        <f t="array" ref="H40">IF(A40="","",IF(A40&lt;=10,G40*(1-INDEX('入力 Inputs'!$B$71:$B$80,A40)),G40))</f>
        <v>110522298.07777321</v>
      </c>
      <c r="I40" s="43">
        <f t="shared" si="9"/>
        <v>110522298.07777321</v>
      </c>
      <c r="J40" s="43">
        <f>IF(A40="","",(J39-J39*'入力 Inputs'!$B$41-'入力 Inputs'!$B$57*(1+'入力 Inputs'!$B$91)^(36-1))*(1+'入力 Inputs'!$B$85))</f>
        <v>130823531.55546081</v>
      </c>
      <c r="K40" s="43" cm="1">
        <f t="array" ref="K40">IF(A40="","",IF(A40&lt;=10,J40*(1-INDEX('入力 Inputs'!$B$71:$B$80,A40)),J40))</f>
        <v>130823531.55546081</v>
      </c>
      <c r="L40" s="43">
        <f t="shared" si="10"/>
        <v>130823531.55546081</v>
      </c>
      <c r="M40" s="170">
        <f>IF(A40="","",D40*'入力 Inputs'!$B$64)</f>
        <v>16262621155.574381</v>
      </c>
      <c r="N40">
        <f t="shared" si="11"/>
        <v>36</v>
      </c>
      <c r="O40">
        <f t="shared" si="12"/>
        <v>101641382.22233988</v>
      </c>
      <c r="P40">
        <f t="shared" si="13"/>
        <v>110522298.07777321</v>
      </c>
      <c r="Q40">
        <f t="shared" si="14"/>
        <v>130823531.55546081</v>
      </c>
    </row>
    <row r="41" spans="1:17" x14ac:dyDescent="0.25">
      <c r="A41" s="186">
        <f>IF(37&lt;='入力 Inputs'!$B$86,37,"")</f>
        <v>37</v>
      </c>
      <c r="B41" s="187">
        <f>IF(A41="","",'入力 Inputs'!$B$55+A41)</f>
        <v>83</v>
      </c>
      <c r="C41" s="43">
        <f t="shared" si="15"/>
        <v>0</v>
      </c>
      <c r="D41" s="43">
        <f>IF(A41="","",(D40-D40*'入力 Inputs'!$B$41-'入力 Inputs'!$B$57*(1+'入力 Inputs'!$B$91)^(37-1))*(1+'入力 Inputs'!$B$83))</f>
        <v>107834149.74581657</v>
      </c>
      <c r="E41" s="43" cm="1">
        <f t="array" ref="E41">IF(A41="","",IF(A41&lt;=10,D41*(1-INDEX('入力 Inputs'!$B$71:$B$80,A41)),D41))</f>
        <v>107834149.74581657</v>
      </c>
      <c r="F41" s="43">
        <f t="shared" si="8"/>
        <v>107834149.74581657</v>
      </c>
      <c r="G41" s="43">
        <f>IF(A41="","",(G40-G40*'入力 Inputs'!$B$41-'入力 Inputs'!$B$57*(1+'入力 Inputs'!$B$91)^(37-1))*(1+'入力 Inputs'!$B$84))</f>
        <v>117529322.09561189</v>
      </c>
      <c r="H41" s="43" cm="1">
        <f t="array" ref="H41">IF(A41="","",IF(A41&lt;=10,G41*(1-INDEX('入力 Inputs'!$B$71:$B$80,A41)),G41))</f>
        <v>117529322.09561189</v>
      </c>
      <c r="I41" s="43">
        <f t="shared" si="9"/>
        <v>117529322.09561189</v>
      </c>
      <c r="J41" s="43">
        <f>IF(A41="","",(J40-J40*'入力 Inputs'!$B$41-'入力 Inputs'!$B$57*(1+'入力 Inputs'!$B$91)^(37-1))*(1+'入力 Inputs'!$B$85))</f>
        <v>139770839.29191491</v>
      </c>
      <c r="K41" s="43" cm="1">
        <f t="array" ref="K41">IF(A41="","",IF(A41&lt;=10,J41*(1-INDEX('入力 Inputs'!$B$71:$B$80,A41)),J41))</f>
        <v>139770839.29191491</v>
      </c>
      <c r="L41" s="43">
        <f t="shared" si="10"/>
        <v>139770839.29191491</v>
      </c>
      <c r="M41" s="170">
        <f>IF(A41="","",D41*'入力 Inputs'!$B$64)</f>
        <v>17253463959.33065</v>
      </c>
      <c r="N41">
        <f t="shared" si="11"/>
        <v>37</v>
      </c>
      <c r="O41">
        <f t="shared" si="12"/>
        <v>107834149.74581657</v>
      </c>
      <c r="P41">
        <f t="shared" si="13"/>
        <v>117529322.09561189</v>
      </c>
      <c r="Q41">
        <f t="shared" si="14"/>
        <v>139770839.29191491</v>
      </c>
    </row>
    <row r="42" spans="1:17" x14ac:dyDescent="0.25">
      <c r="A42" s="186">
        <f>IF(38&lt;='入力 Inputs'!$B$86,38,"")</f>
        <v>38</v>
      </c>
      <c r="B42" s="187">
        <f>IF(A42="","",'入力 Inputs'!$B$55+A42)</f>
        <v>84</v>
      </c>
      <c r="C42" s="43">
        <f t="shared" si="15"/>
        <v>0</v>
      </c>
      <c r="D42" s="43">
        <f>IF(A42="","",(D41-D41*'入力 Inputs'!$B$41-'入力 Inputs'!$B$57*(1+'入力 Inputs'!$B$91)^(38-1))*(1+'入力 Inputs'!$B$83))</f>
        <v>114404239.14916416</v>
      </c>
      <c r="E42" s="43" cm="1">
        <f t="array" ref="E42">IF(A42="","",IF(A42&lt;=10,D42*(1-INDEX('入力 Inputs'!$B$71:$B$80,A42)),D42))</f>
        <v>114404239.14916416</v>
      </c>
      <c r="F42" s="43">
        <f t="shared" si="8"/>
        <v>114404239.14916416</v>
      </c>
      <c r="G42" s="43">
        <f>IF(A42="","",(G41-G41*'入力 Inputs'!$B$41-'入力 Inputs'!$B$57*(1+'入力 Inputs'!$B$91)^(38-1))*(1+'入力 Inputs'!$B$84))</f>
        <v>124980597.97416045</v>
      </c>
      <c r="H42" s="43" cm="1">
        <f t="array" ref="H42">IF(A42="","",IF(A42&lt;=10,G42*(1-INDEX('入力 Inputs'!$B$71:$B$80,A42)),G42))</f>
        <v>124980597.97416045</v>
      </c>
      <c r="I42" s="43">
        <f t="shared" si="9"/>
        <v>124980597.97416045</v>
      </c>
      <c r="J42" s="43">
        <f>IF(A42="","",(J41-J41*'入力 Inputs'!$B$41-'入力 Inputs'!$B$57*(1+'入力 Inputs'!$B$91)^(38-1))*(1+'入力 Inputs'!$B$85))</f>
        <v>149330087.10987535</v>
      </c>
      <c r="K42" s="43" cm="1">
        <f t="array" ref="K42">IF(A42="","",IF(A42&lt;=10,J42*(1-INDEX('入力 Inputs'!$B$71:$B$80,A42)),J42))</f>
        <v>149330087.10987535</v>
      </c>
      <c r="L42" s="43">
        <f t="shared" si="10"/>
        <v>149330087.10987535</v>
      </c>
      <c r="M42" s="170">
        <f>IF(A42="","",D42*'入力 Inputs'!$B$64)</f>
        <v>18304678263.866264</v>
      </c>
      <c r="N42">
        <f t="shared" si="11"/>
        <v>38</v>
      </c>
      <c r="O42">
        <f t="shared" si="12"/>
        <v>114404239.14916416</v>
      </c>
      <c r="P42">
        <f t="shared" si="13"/>
        <v>124980597.97416045</v>
      </c>
      <c r="Q42">
        <f t="shared" si="14"/>
        <v>149330087.10987535</v>
      </c>
    </row>
    <row r="43" spans="1:17" x14ac:dyDescent="0.25">
      <c r="A43" s="186">
        <f>IF(39&lt;='入力 Inputs'!$B$86,39,"")</f>
        <v>39</v>
      </c>
      <c r="B43" s="187">
        <f>IF(A43="","",'入力 Inputs'!$B$55+A43)</f>
        <v>85</v>
      </c>
      <c r="C43" s="43">
        <f t="shared" si="15"/>
        <v>0</v>
      </c>
      <c r="D43" s="43">
        <f>IF(A43="","",(D42-D42*'入力 Inputs'!$B$41-'入力 Inputs'!$B$57*(1+'入力 Inputs'!$B$91)^(39-1))*(1+'入力 Inputs'!$B$83))</f>
        <v>121374640.78340395</v>
      </c>
      <c r="E43" s="43" cm="1">
        <f t="array" ref="E43">IF(A43="","",IF(A43&lt;=10,D43*(1-INDEX('入力 Inputs'!$B$71:$B$80,A43)),D43))</f>
        <v>121374640.78340395</v>
      </c>
      <c r="F43" s="43">
        <f t="shared" si="8"/>
        <v>121374640.78340395</v>
      </c>
      <c r="G43" s="43">
        <f>IF(A43="","",(G42-G42*'入力 Inputs'!$B$41-'入力 Inputs'!$B$57*(1+'入力 Inputs'!$B$91)^(39-1))*(1+'入力 Inputs'!$B$84))</f>
        <v>132904292.06263015</v>
      </c>
      <c r="H43" s="43" cm="1">
        <f t="array" ref="H43">IF(A43="","",IF(A43&lt;=10,G43*(1-INDEX('入力 Inputs'!$B$71:$B$80,A43)),G43))</f>
        <v>132904292.06263015</v>
      </c>
      <c r="I43" s="43">
        <f t="shared" si="9"/>
        <v>132904292.06263015</v>
      </c>
      <c r="J43" s="43">
        <f>IF(A43="","",(J42-J42*'入力 Inputs'!$B$41-'入力 Inputs'!$B$57*(1+'入力 Inputs'!$B$91)^(39-1))*(1+'入力 Inputs'!$B$85))</f>
        <v>159543128.32028288</v>
      </c>
      <c r="K43" s="43" cm="1">
        <f t="array" ref="K43">IF(A43="","",IF(A43&lt;=10,J43*(1-INDEX('入力 Inputs'!$B$71:$B$80,A43)),J43))</f>
        <v>159543128.32028288</v>
      </c>
      <c r="L43" s="43">
        <f t="shared" si="10"/>
        <v>159543128.32028288</v>
      </c>
      <c r="M43" s="170">
        <f>IF(A43="","",D43*'入力 Inputs'!$B$64)</f>
        <v>19419942525.344631</v>
      </c>
      <c r="N43">
        <f t="shared" si="11"/>
        <v>39</v>
      </c>
      <c r="O43">
        <f t="shared" si="12"/>
        <v>121374640.78340395</v>
      </c>
      <c r="P43">
        <f t="shared" si="13"/>
        <v>132904292.06263015</v>
      </c>
      <c r="Q43">
        <f t="shared" si="14"/>
        <v>159543128.32028288</v>
      </c>
    </row>
    <row r="44" spans="1:17" x14ac:dyDescent="0.25">
      <c r="A44" s="186">
        <f>IF(40&lt;='入力 Inputs'!$B$86,40,"")</f>
        <v>40</v>
      </c>
      <c r="B44" s="187">
        <f>IF(A44="","",'入力 Inputs'!$B$55+A44)</f>
        <v>86</v>
      </c>
      <c r="C44" s="43">
        <f t="shared" si="15"/>
        <v>0</v>
      </c>
      <c r="D44" s="43">
        <f>IF(A44="","",(D43-D43*'入力 Inputs'!$B$41-'入力 Inputs'!$B$57*(1+'入力 Inputs'!$B$91)^(40-1))*(1+'入力 Inputs'!$B$83))</f>
        <v>128769745.81966218</v>
      </c>
      <c r="E44" s="43" cm="1">
        <f t="array" ref="E44">IF(A44="","",IF(A44&lt;=10,D44*(1-INDEX('入力 Inputs'!$B$71:$B$80,A44)),D44))</f>
        <v>128769745.81966218</v>
      </c>
      <c r="F44" s="43">
        <f t="shared" si="8"/>
        <v>128769745.81966218</v>
      </c>
      <c r="G44" s="43">
        <f>IF(A44="","",(G43-G43*'入力 Inputs'!$B$41-'入力 Inputs'!$B$57*(1+'入力 Inputs'!$B$91)^(40-1))*(1+'入力 Inputs'!$B$84))</f>
        <v>141330356.51730642</v>
      </c>
      <c r="H44" s="43" cm="1">
        <f t="array" ref="H44">IF(A44="","",IF(A44&lt;=10,G44*(1-INDEX('入力 Inputs'!$B$71:$B$80,A44)),G44))</f>
        <v>141330356.51730642</v>
      </c>
      <c r="I44" s="43">
        <f t="shared" si="9"/>
        <v>141330356.51730642</v>
      </c>
      <c r="J44" s="43">
        <f>IF(A44="","",(J43-J43*'入力 Inputs'!$B$41-'入力 Inputs'!$B$57*(1+'入力 Inputs'!$B$91)^(40-1))*(1+'入力 Inputs'!$B$85))</f>
        <v>170454678.78135207</v>
      </c>
      <c r="K44" s="43" cm="1">
        <f t="array" ref="K44">IF(A44="","",IF(A44&lt;=10,J44*(1-INDEX('入力 Inputs'!$B$71:$B$80,A44)),J44))</f>
        <v>170454678.78135207</v>
      </c>
      <c r="L44" s="43">
        <f t="shared" si="10"/>
        <v>170454678.78135207</v>
      </c>
      <c r="M44" s="170">
        <f>IF(A44="","",D44*'入力 Inputs'!$B$64)</f>
        <v>20603159331.14595</v>
      </c>
      <c r="N44">
        <f t="shared" si="11"/>
        <v>40</v>
      </c>
      <c r="O44">
        <f t="shared" si="12"/>
        <v>128769745.81966218</v>
      </c>
      <c r="P44">
        <f t="shared" si="13"/>
        <v>141330356.51730642</v>
      </c>
      <c r="Q44">
        <f t="shared" si="14"/>
        <v>170454678.78135207</v>
      </c>
    </row>
    <row r="45" spans="1:17" x14ac:dyDescent="0.25">
      <c r="A45" s="186">
        <f>IF(41&lt;='入力 Inputs'!$B$86,41,"")</f>
        <v>41</v>
      </c>
      <c r="B45" s="187">
        <f>IF(A45="","",'入力 Inputs'!$B$55+A45)</f>
        <v>87</v>
      </c>
      <c r="C45" s="43">
        <f t="shared" si="15"/>
        <v>0</v>
      </c>
      <c r="D45" s="43">
        <f>IF(A45="","",(D44-D44*'入力 Inputs'!$B$41-'入力 Inputs'!$B$57*(1+'入力 Inputs'!$B$91)^(41-1))*(1+'入力 Inputs'!$B$83))</f>
        <v>136615431.60254171</v>
      </c>
      <c r="E45" s="43" cm="1">
        <f t="array" ref="E45">IF(A45="","",IF(A45&lt;=10,D45*(1-INDEX('入力 Inputs'!$B$71:$B$80,A45)),D45))</f>
        <v>136615431.60254171</v>
      </c>
      <c r="F45" s="43">
        <f t="shared" si="8"/>
        <v>136615431.60254171</v>
      </c>
      <c r="G45" s="43">
        <f>IF(A45="","",(G44-G44*'入力 Inputs'!$B$41-'入力 Inputs'!$B$57*(1+'入力 Inputs'!$B$91)^(41-1))*(1+'入力 Inputs'!$B$84))</f>
        <v>150290642.52588555</v>
      </c>
      <c r="H45" s="43" cm="1">
        <f t="array" ref="H45">IF(A45="","",IF(A45&lt;=10,G45*(1-INDEX('入力 Inputs'!$B$71:$B$80,A45)),G45))</f>
        <v>150290642.52588555</v>
      </c>
      <c r="I45" s="43">
        <f t="shared" si="9"/>
        <v>150290642.52588555</v>
      </c>
      <c r="J45" s="43">
        <f>IF(A45="","",(J44-J44*'入力 Inputs'!$B$41-'入力 Inputs'!$B$57*(1+'入力 Inputs'!$B$91)^(41-1))*(1+'入力 Inputs'!$B$85))</f>
        <v>182112512.68219417</v>
      </c>
      <c r="K45" s="43" cm="1">
        <f t="array" ref="K45">IF(A45="","",IF(A45&lt;=10,J45*(1-INDEX('入力 Inputs'!$B$71:$B$80,A45)),J45))</f>
        <v>182112512.68219417</v>
      </c>
      <c r="L45" s="43">
        <f t="shared" si="10"/>
        <v>182112512.68219417</v>
      </c>
      <c r="M45" s="170">
        <f>IF(A45="","",D45*'入力 Inputs'!$B$64)</f>
        <v>21858469056.406673</v>
      </c>
      <c r="N45">
        <f t="shared" si="11"/>
        <v>41</v>
      </c>
      <c r="O45">
        <f t="shared" si="12"/>
        <v>136615431.60254171</v>
      </c>
      <c r="P45">
        <f t="shared" si="13"/>
        <v>150290642.52588555</v>
      </c>
      <c r="Q45">
        <f t="shared" si="14"/>
        <v>182112512.68219417</v>
      </c>
    </row>
    <row r="46" spans="1:17" x14ac:dyDescent="0.25">
      <c r="A46" s="186">
        <f>IF(42&lt;='入力 Inputs'!$B$86,42,"")</f>
        <v>42</v>
      </c>
      <c r="B46" s="187">
        <f>IF(A46="","",'入力 Inputs'!$B$55+A46)</f>
        <v>88</v>
      </c>
      <c r="C46" s="43">
        <f t="shared" si="15"/>
        <v>0</v>
      </c>
      <c r="D46" s="43">
        <f>IF(A46="","",(D45-D45*'入力 Inputs'!$B$41-'入力 Inputs'!$B$57*(1+'入力 Inputs'!$B$91)^(42-1))*(1+'入力 Inputs'!$B$83))</f>
        <v>144939152.20416921</v>
      </c>
      <c r="E46" s="43" cm="1">
        <f t="array" ref="E46">IF(A46="","",IF(A46&lt;=10,D46*(1-INDEX('入力 Inputs'!$B$71:$B$80,A46)),D46))</f>
        <v>144939152.20416921</v>
      </c>
      <c r="F46" s="43">
        <f t="shared" si="8"/>
        <v>144939152.20416921</v>
      </c>
      <c r="G46" s="43">
        <f>IF(A46="","",(G45-G45*'入力 Inputs'!$B$41-'入力 Inputs'!$B$57*(1+'入力 Inputs'!$B$91)^(42-1))*(1+'入力 Inputs'!$B$84))</f>
        <v>159819020.71050835</v>
      </c>
      <c r="H46" s="43" cm="1">
        <f t="array" ref="H46">IF(A46="","",IF(A46&lt;=10,G46*(1-INDEX('入力 Inputs'!$B$71:$B$80,A46)),G46))</f>
        <v>159819020.71050835</v>
      </c>
      <c r="I46" s="43">
        <f t="shared" si="9"/>
        <v>159819020.71050835</v>
      </c>
      <c r="J46" s="43">
        <f>IF(A46="","",(J45-J45*'入力 Inputs'!$B$41-'入力 Inputs'!$B$57*(1+'入力 Inputs'!$B$91)^(42-1))*(1+'入力 Inputs'!$B$85))</f>
        <v>194567671.7170521</v>
      </c>
      <c r="K46" s="43" cm="1">
        <f t="array" ref="K46">IF(A46="","",IF(A46&lt;=10,J46*(1-INDEX('入力 Inputs'!$B$71:$B$80,A46)),J46))</f>
        <v>194567671.7170521</v>
      </c>
      <c r="L46" s="43">
        <f t="shared" si="10"/>
        <v>194567671.7170521</v>
      </c>
      <c r="M46" s="170">
        <f>IF(A46="","",D46*'入力 Inputs'!$B$64)</f>
        <v>23190264352.667076</v>
      </c>
      <c r="N46">
        <f t="shared" si="11"/>
        <v>42</v>
      </c>
      <c r="O46">
        <f t="shared" si="12"/>
        <v>144939152.20416921</v>
      </c>
      <c r="P46">
        <f t="shared" si="13"/>
        <v>159819020.71050835</v>
      </c>
      <c r="Q46">
        <f t="shared" si="14"/>
        <v>194567671.7170521</v>
      </c>
    </row>
    <row r="47" spans="1:17" x14ac:dyDescent="0.25">
      <c r="A47" s="186">
        <f>IF(43&lt;='入力 Inputs'!$B$86,43,"")</f>
        <v>43</v>
      </c>
      <c r="B47" s="187">
        <f>IF(A47="","",'入力 Inputs'!$B$55+A47)</f>
        <v>89</v>
      </c>
      <c r="C47" s="43">
        <f t="shared" si="15"/>
        <v>0</v>
      </c>
      <c r="D47" s="43">
        <f>IF(A47="","",(D46-D46*'入力 Inputs'!$B$41-'入力 Inputs'!$B$57*(1+'入力 Inputs'!$B$91)^(43-1))*(1+'入力 Inputs'!$B$83))</f>
        <v>153770034.4958013</v>
      </c>
      <c r="E47" s="43" cm="1">
        <f t="array" ref="E47">IF(A47="","",IF(A47&lt;=10,D47*(1-INDEX('入力 Inputs'!$B$71:$B$80,A47)),D47))</f>
        <v>153770034.4958013</v>
      </c>
      <c r="F47" s="43">
        <f t="shared" si="8"/>
        <v>153770034.4958013</v>
      </c>
      <c r="G47" s="43">
        <f>IF(A47="","",(G46-G46*'入力 Inputs'!$B$41-'入力 Inputs'!$B$57*(1+'入力 Inputs'!$B$91)^(43-1))*(1+'入力 Inputs'!$B$84))</f>
        <v>169951509.16463798</v>
      </c>
      <c r="H47" s="43" cm="1">
        <f t="array" ref="H47">IF(A47="","",IF(A47&lt;=10,G47*(1-INDEX('入力 Inputs'!$B$71:$B$80,A47)),G47))</f>
        <v>169951509.16463798</v>
      </c>
      <c r="I47" s="43">
        <f t="shared" si="9"/>
        <v>169951509.16463798</v>
      </c>
      <c r="J47" s="43">
        <f>IF(A47="","",(J46-J46*'入力 Inputs'!$B$41-'入力 Inputs'!$B$57*(1+'入力 Inputs'!$B$91)^(43-1))*(1+'入力 Inputs'!$B$85))</f>
        <v>207874688.56599796</v>
      </c>
      <c r="K47" s="43" cm="1">
        <f t="array" ref="K47">IF(A47="","",IF(A47&lt;=10,J47*(1-INDEX('入力 Inputs'!$B$71:$B$80,A47)),J47))</f>
        <v>207874688.56599796</v>
      </c>
      <c r="L47" s="43">
        <f t="shared" si="10"/>
        <v>207874688.56599796</v>
      </c>
      <c r="M47" s="170">
        <f>IF(A47="","",D47*'入力 Inputs'!$B$64)</f>
        <v>24603205519.328209</v>
      </c>
      <c r="N47">
        <f t="shared" si="11"/>
        <v>43</v>
      </c>
      <c r="O47">
        <f t="shared" si="12"/>
        <v>153770034.4958013</v>
      </c>
      <c r="P47">
        <f t="shared" si="13"/>
        <v>169951509.16463798</v>
      </c>
      <c r="Q47">
        <f t="shared" si="14"/>
        <v>207874688.56599796</v>
      </c>
    </row>
    <row r="48" spans="1:17" x14ac:dyDescent="0.25">
      <c r="A48" s="186">
        <f>IF(44&lt;='入力 Inputs'!$B$86,44,"")</f>
        <v>44</v>
      </c>
      <c r="B48" s="187">
        <f>IF(A48="","",'入力 Inputs'!$B$55+A48)</f>
        <v>90</v>
      </c>
      <c r="C48" s="43">
        <f t="shared" si="15"/>
        <v>0</v>
      </c>
      <c r="D48" s="43">
        <f>IF(A48="","",(D47-D47*'入力 Inputs'!$B$41-'入力 Inputs'!$B$57*(1+'入力 Inputs'!$B$91)^(44-1))*(1+'入力 Inputs'!$B$83))</f>
        <v>163138980.07318062</v>
      </c>
      <c r="E48" s="43" cm="1">
        <f t="array" ref="E48">IF(A48="","",IF(A48&lt;=10,D48*(1-INDEX('入力 Inputs'!$B$71:$B$80,A48)),D48))</f>
        <v>163138980.07318062</v>
      </c>
      <c r="F48" s="43">
        <f t="shared" si="8"/>
        <v>163138980.07318062</v>
      </c>
      <c r="G48" s="43">
        <f>IF(A48="","",(G47-G47*'入力 Inputs'!$B$41-'入力 Inputs'!$B$57*(1+'入力 Inputs'!$B$91)^(44-1))*(1+'入力 Inputs'!$B$84))</f>
        <v>180726409.60778651</v>
      </c>
      <c r="H48" s="43" cm="1">
        <f t="array" ref="H48">IF(A48="","",IF(A48&lt;=10,G48*(1-INDEX('入力 Inputs'!$B$71:$B$80,A48)),G48))</f>
        <v>180726409.60778651</v>
      </c>
      <c r="I48" s="43">
        <f t="shared" si="9"/>
        <v>180726409.60778651</v>
      </c>
      <c r="J48" s="43">
        <f>IF(A48="","",(J47-J47*'入力 Inputs'!$B$41-'入力 Inputs'!$B$57*(1+'入力 Inputs'!$B$91)^(44-1))*(1+'入力 Inputs'!$B$85))</f>
        <v>222091825.66058323</v>
      </c>
      <c r="K48" s="43" cm="1">
        <f t="array" ref="K48">IF(A48="","",IF(A48&lt;=10,J48*(1-INDEX('入力 Inputs'!$B$71:$B$80,A48)),J48))</f>
        <v>222091825.66058323</v>
      </c>
      <c r="L48" s="43">
        <f t="shared" si="10"/>
        <v>222091825.66058323</v>
      </c>
      <c r="M48" s="170">
        <f>IF(A48="","",D48*'入力 Inputs'!$B$64)</f>
        <v>26102236811.7089</v>
      </c>
      <c r="N48">
        <f t="shared" si="11"/>
        <v>44</v>
      </c>
      <c r="O48">
        <f t="shared" si="12"/>
        <v>163138980.07318062</v>
      </c>
      <c r="P48">
        <f t="shared" si="13"/>
        <v>180726409.60778651</v>
      </c>
      <c r="Q48">
        <f t="shared" si="14"/>
        <v>222091825.66058323</v>
      </c>
    </row>
    <row r="49" spans="1:17" x14ac:dyDescent="0.25">
      <c r="A49" s="186">
        <f>IF(45&lt;='入力 Inputs'!$B$86,45,"")</f>
        <v>45</v>
      </c>
      <c r="B49" s="187">
        <f>IF(A49="","",'入力 Inputs'!$B$55+A49)</f>
        <v>91</v>
      </c>
      <c r="C49" s="43">
        <f t="shared" si="15"/>
        <v>0</v>
      </c>
      <c r="D49" s="43">
        <f>IF(A49="","",(D48-D48*'入力 Inputs'!$B$41-'入力 Inputs'!$B$57*(1+'入力 Inputs'!$B$91)^(45-1))*(1+'入力 Inputs'!$B$83))</f>
        <v>173078773.39231768</v>
      </c>
      <c r="E49" s="43" cm="1">
        <f t="array" ref="E49">IF(A49="","",IF(A49&lt;=10,D49*(1-INDEX('入力 Inputs'!$B$71:$B$80,A49)),D49))</f>
        <v>173078773.39231768</v>
      </c>
      <c r="F49" s="43">
        <f t="shared" si="8"/>
        <v>173078773.39231768</v>
      </c>
      <c r="G49" s="43">
        <f>IF(A49="","",(G48-G48*'入力 Inputs'!$B$41-'入力 Inputs'!$B$57*(1+'入力 Inputs'!$B$91)^(45-1))*(1+'入力 Inputs'!$B$84))</f>
        <v>192184452.17278188</v>
      </c>
      <c r="H49" s="43" cm="1">
        <f t="array" ref="H49">IF(A49="","",IF(A49&lt;=10,G49*(1-INDEX('入力 Inputs'!$B$71:$B$80,A49)),G49))</f>
        <v>192184452.17278188</v>
      </c>
      <c r="I49" s="43">
        <f t="shared" si="9"/>
        <v>192184452.17278188</v>
      </c>
      <c r="J49" s="43">
        <f>IF(A49="","",(J48-J48*'入力 Inputs'!$B$41-'入力 Inputs'!$B$57*(1+'入力 Inputs'!$B$91)^(45-1))*(1+'入力 Inputs'!$B$85))</f>
        <v>237281330.27985606</v>
      </c>
      <c r="K49" s="43" cm="1">
        <f t="array" ref="K49">IF(A49="","",IF(A49&lt;=10,J49*(1-INDEX('入力 Inputs'!$B$71:$B$80,A49)),J49))</f>
        <v>237281330.27985606</v>
      </c>
      <c r="L49" s="43">
        <f t="shared" si="10"/>
        <v>237281330.27985606</v>
      </c>
      <c r="M49" s="170">
        <f>IF(A49="","",D49*'入力 Inputs'!$B$64)</f>
        <v>27692603742.770828</v>
      </c>
      <c r="N49">
        <f t="shared" si="11"/>
        <v>45</v>
      </c>
      <c r="O49">
        <f t="shared" si="12"/>
        <v>173078773.39231768</v>
      </c>
      <c r="P49">
        <f t="shared" si="13"/>
        <v>192184452.17278188</v>
      </c>
      <c r="Q49">
        <f t="shared" si="14"/>
        <v>237281330.27985606</v>
      </c>
    </row>
    <row r="50" spans="1:17" x14ac:dyDescent="0.25">
      <c r="A50" s="186">
        <f>IF(46&lt;='入力 Inputs'!$B$86,46,"")</f>
        <v>46</v>
      </c>
      <c r="B50" s="187">
        <f>IF(A50="","",'入力 Inputs'!$B$55+A50)</f>
        <v>92</v>
      </c>
      <c r="C50" s="43">
        <f t="shared" si="15"/>
        <v>0</v>
      </c>
      <c r="D50" s="43">
        <f>IF(A50="","",(D49-D49*'入力 Inputs'!$B$41-'入力 Inputs'!$B$57*(1+'入力 Inputs'!$B$91)^(46-1))*(1+'入力 Inputs'!$B$83))</f>
        <v>183624196.4941071</v>
      </c>
      <c r="E50" s="43" cm="1">
        <f t="array" ref="E50">IF(A50="","",IF(A50&lt;=10,D50*(1-INDEX('入力 Inputs'!$B$71:$B$80,A50)),D50))</f>
        <v>183624196.4941071</v>
      </c>
      <c r="F50" s="43">
        <f t="shared" si="8"/>
        <v>183624196.4941071</v>
      </c>
      <c r="G50" s="43">
        <f>IF(A50="","",(G49-G49*'入力 Inputs'!$B$41-'入力 Inputs'!$B$57*(1+'入力 Inputs'!$B$91)^(46-1))*(1+'入力 Inputs'!$B$84))</f>
        <v>204368949.3728995</v>
      </c>
      <c r="H50" s="43" cm="1">
        <f t="array" ref="H50">IF(A50="","",IF(A50&lt;=10,G50*(1-INDEX('入力 Inputs'!$B$71:$B$80,A50)),G50))</f>
        <v>204368949.3728995</v>
      </c>
      <c r="I50" s="43">
        <f t="shared" si="9"/>
        <v>204368949.3728995</v>
      </c>
      <c r="J50" s="43">
        <f>IF(A50="","",(J49-J49*'入力 Inputs'!$B$41-'入力 Inputs'!$B$57*(1+'入力 Inputs'!$B$91)^(46-1))*(1+'入力 Inputs'!$B$85))</f>
        <v>253509707.09366056</v>
      </c>
      <c r="K50" s="43" cm="1">
        <f t="array" ref="K50">IF(A50="","",IF(A50&lt;=10,J50*(1-INDEX('入力 Inputs'!$B$71:$B$80,A50)),J50))</f>
        <v>253509707.09366056</v>
      </c>
      <c r="L50" s="43">
        <f t="shared" si="10"/>
        <v>253509707.09366056</v>
      </c>
      <c r="M50" s="170">
        <f>IF(A50="","",D50*'入力 Inputs'!$B$64)</f>
        <v>29379871439.057137</v>
      </c>
      <c r="N50">
        <f t="shared" si="11"/>
        <v>46</v>
      </c>
      <c r="O50">
        <f t="shared" si="12"/>
        <v>183624196.4941071</v>
      </c>
      <c r="P50">
        <f t="shared" si="13"/>
        <v>204368949.3728995</v>
      </c>
      <c r="Q50">
        <f t="shared" si="14"/>
        <v>253509707.09366056</v>
      </c>
    </row>
    <row r="51" spans="1:17" x14ac:dyDescent="0.25">
      <c r="A51" s="186">
        <f>IF(47&lt;='入力 Inputs'!$B$86,47,"")</f>
        <v>47</v>
      </c>
      <c r="B51" s="187">
        <f>IF(A51="","",'入力 Inputs'!$B$55+A51)</f>
        <v>93</v>
      </c>
      <c r="C51" s="43">
        <f t="shared" si="15"/>
        <v>0</v>
      </c>
      <c r="D51" s="43">
        <f>IF(A51="","",(D50-D50*'入力 Inputs'!$B$41-'入力 Inputs'!$B$57*(1+'入力 Inputs'!$B$91)^(47-1))*(1+'入力 Inputs'!$B$83))</f>
        <v>194812150.71924353</v>
      </c>
      <c r="E51" s="43" cm="1">
        <f t="array" ref="E51">IF(A51="","",IF(A51&lt;=10,D51*(1-INDEX('入力 Inputs'!$B$71:$B$80,A51)),D51))</f>
        <v>194812150.71924353</v>
      </c>
      <c r="F51" s="43">
        <f t="shared" si="8"/>
        <v>194812150.71924353</v>
      </c>
      <c r="G51" s="43">
        <f>IF(A51="","",(G50-G50*'入力 Inputs'!$B$41-'入力 Inputs'!$B$57*(1+'入力 Inputs'!$B$91)^(47-1))*(1+'入力 Inputs'!$B$84))</f>
        <v>217325959.83088455</v>
      </c>
      <c r="H51" s="43" cm="1">
        <f t="array" ref="H51">IF(A51="","",IF(A51&lt;=10,G51*(1-INDEX('入力 Inputs'!$B$71:$B$80,A51)),G51))</f>
        <v>217325959.83088455</v>
      </c>
      <c r="I51" s="43">
        <f t="shared" si="9"/>
        <v>217325959.83088455</v>
      </c>
      <c r="J51" s="43">
        <f>IF(A51="","",(J50-J50*'入力 Inputs'!$B$41-'入力 Inputs'!$B$57*(1+'入力 Inputs'!$B$91)^(47-1))*(1+'入力 Inputs'!$B$85))</f>
        <v>270848009.34652466</v>
      </c>
      <c r="K51" s="43" cm="1">
        <f t="array" ref="K51">IF(A51="","",IF(A51&lt;=10,J51*(1-INDEX('入力 Inputs'!$B$71:$B$80,A51)),J51))</f>
        <v>270848009.34652466</v>
      </c>
      <c r="L51" s="43">
        <f t="shared" si="10"/>
        <v>270848009.34652466</v>
      </c>
      <c r="M51" s="170">
        <f>IF(A51="","",D51*'入力 Inputs'!$B$64)</f>
        <v>31169944115.078964</v>
      </c>
      <c r="N51">
        <f t="shared" si="11"/>
        <v>47</v>
      </c>
      <c r="O51">
        <f t="shared" si="12"/>
        <v>194812150.71924353</v>
      </c>
      <c r="P51">
        <f t="shared" si="13"/>
        <v>217325959.83088455</v>
      </c>
      <c r="Q51">
        <f t="shared" si="14"/>
        <v>270848009.34652466</v>
      </c>
    </row>
    <row r="52" spans="1:17" x14ac:dyDescent="0.25">
      <c r="A52" s="186">
        <f>IF(48&lt;='入力 Inputs'!$B$86,48,"")</f>
        <v>48</v>
      </c>
      <c r="B52" s="187">
        <f>IF(A52="","",'入力 Inputs'!$B$55+A52)</f>
        <v>94</v>
      </c>
      <c r="C52" s="43">
        <f t="shared" si="15"/>
        <v>0</v>
      </c>
      <c r="D52" s="43">
        <f>IF(A52="","",(D51-D51*'入力 Inputs'!$B$41-'入力 Inputs'!$B$57*(1+'入力 Inputs'!$B$91)^(48-1))*(1+'入力 Inputs'!$B$83))</f>
        <v>206681785.83936441</v>
      </c>
      <c r="E52" s="43" cm="1">
        <f t="array" ref="E52">IF(A52="","",IF(A52&lt;=10,D52*(1-INDEX('入力 Inputs'!$B$71:$B$80,A52)),D52))</f>
        <v>206681785.83936441</v>
      </c>
      <c r="F52" s="43">
        <f t="shared" si="8"/>
        <v>206681785.83936441</v>
      </c>
      <c r="G52" s="43">
        <f>IF(A52="","",(G51-G51*'入力 Inputs'!$B$41-'入力 Inputs'!$B$57*(1+'入力 Inputs'!$B$91)^(48-1))*(1+'入力 Inputs'!$B$84))</f>
        <v>231104462.38879311</v>
      </c>
      <c r="H52" s="43" cm="1">
        <f t="array" ref="H52">IF(A52="","",IF(A52&lt;=10,G52*(1-INDEX('入力 Inputs'!$B$71:$B$80,A52)),G52))</f>
        <v>231104462.38879311</v>
      </c>
      <c r="I52" s="43">
        <f t="shared" si="9"/>
        <v>231104462.38879311</v>
      </c>
      <c r="J52" s="43">
        <f>IF(A52="","",(J51-J51*'入力 Inputs'!$B$41-'入力 Inputs'!$B$57*(1+'入力 Inputs'!$B$91)^(48-1))*(1+'入力 Inputs'!$B$85))</f>
        <v>289372149.95705914</v>
      </c>
      <c r="K52" s="43" cm="1">
        <f t="array" ref="K52">IF(A52="","",IF(A52&lt;=10,J52*(1-INDEX('入力 Inputs'!$B$71:$B$80,A52)),J52))</f>
        <v>289372149.95705914</v>
      </c>
      <c r="L52" s="43">
        <f t="shared" si="10"/>
        <v>289372149.95705914</v>
      </c>
      <c r="M52" s="170">
        <f>IF(A52="","",D52*'入力 Inputs'!$B$64)</f>
        <v>33069085734.298306</v>
      </c>
      <c r="N52">
        <f t="shared" si="11"/>
        <v>48</v>
      </c>
      <c r="O52">
        <f t="shared" si="12"/>
        <v>206681785.83936441</v>
      </c>
      <c r="P52">
        <f t="shared" si="13"/>
        <v>231104462.38879311</v>
      </c>
      <c r="Q52">
        <f t="shared" si="14"/>
        <v>289372149.95705914</v>
      </c>
    </row>
    <row r="53" spans="1:17" x14ac:dyDescent="0.25">
      <c r="A53" s="186">
        <f>IF(49&lt;='入力 Inputs'!$B$86,49,"")</f>
        <v>49</v>
      </c>
      <c r="B53" s="187">
        <f>IF(A53="","",'入力 Inputs'!$B$55+A53)</f>
        <v>95</v>
      </c>
      <c r="C53" s="43">
        <f t="shared" si="15"/>
        <v>0</v>
      </c>
      <c r="D53" s="43">
        <f>IF(A53="","",(D52-D52*'入力 Inputs'!$B$41-'入力 Inputs'!$B$57*(1+'入力 Inputs'!$B$91)^(49-1))*(1+'入力 Inputs'!$B$83))</f>
        <v>219274637.05629879</v>
      </c>
      <c r="E53" s="43" cm="1">
        <f t="array" ref="E53">IF(A53="","",IF(A53&lt;=10,D53*(1-INDEX('入力 Inputs'!$B$71:$B$80,A53)),D53))</f>
        <v>219274637.05629879</v>
      </c>
      <c r="F53" s="43">
        <f t="shared" si="8"/>
        <v>219274637.05629879</v>
      </c>
      <c r="G53" s="43">
        <f>IF(A53="","",(G52-G52*'入力 Inputs'!$B$41-'入力 Inputs'!$B$57*(1+'入力 Inputs'!$B$91)^(49-1))*(1+'入力 Inputs'!$B$84))</f>
        <v>245756541.25682139</v>
      </c>
      <c r="H53" s="43" cm="1">
        <f t="array" ref="H53">IF(A53="","",IF(A53&lt;=10,G53*(1-INDEX('入力 Inputs'!$B$71:$B$80,A53)),G53))</f>
        <v>245756541.25682139</v>
      </c>
      <c r="I53" s="43">
        <f t="shared" si="9"/>
        <v>245756541.25682139</v>
      </c>
      <c r="J53" s="43">
        <f>IF(A53="","",(J52-J52*'入力 Inputs'!$B$41-'入力 Inputs'!$B$57*(1+'入力 Inputs'!$B$91)^(49-1))*(1+'入力 Inputs'!$B$85))</f>
        <v>309163233.89498949</v>
      </c>
      <c r="K53" s="43" cm="1">
        <f t="array" ref="K53">IF(A53="","",IF(A53&lt;=10,J53*(1-INDEX('入力 Inputs'!$B$71:$B$80,A53)),J53))</f>
        <v>309163233.89498949</v>
      </c>
      <c r="L53" s="43">
        <f t="shared" si="10"/>
        <v>309163233.89498949</v>
      </c>
      <c r="M53" s="170">
        <f>IF(A53="","",D53*'入力 Inputs'!$B$64)</f>
        <v>35083941929.007805</v>
      </c>
      <c r="N53">
        <f t="shared" si="11"/>
        <v>49</v>
      </c>
      <c r="O53">
        <f t="shared" si="12"/>
        <v>219274637.05629879</v>
      </c>
      <c r="P53">
        <f t="shared" si="13"/>
        <v>245756541.25682139</v>
      </c>
      <c r="Q53">
        <f t="shared" si="14"/>
        <v>309163233.89498949</v>
      </c>
    </row>
    <row r="54" spans="1:17" x14ac:dyDescent="0.25">
      <c r="A54" s="186">
        <f>IF(50&lt;='入力 Inputs'!$B$86,50,"")</f>
        <v>50</v>
      </c>
      <c r="B54" s="187">
        <f>IF(A54="","",'入力 Inputs'!$B$55+A54)</f>
        <v>96</v>
      </c>
      <c r="C54" s="43">
        <f t="shared" si="15"/>
        <v>0</v>
      </c>
      <c r="D54" s="43">
        <f>IF(A54="","",(D53-D53*'入力 Inputs'!$B$41-'入力 Inputs'!$B$57*(1+'入力 Inputs'!$B$91)^(50-1))*(1+'入力 Inputs'!$B$83))</f>
        <v>232634770.34883538</v>
      </c>
      <c r="E54" s="43" cm="1">
        <f t="array" ref="E54">IF(A54="","",IF(A54&lt;=10,D54*(1-INDEX('入力 Inputs'!$B$71:$B$80,A54)),D54))</f>
        <v>232634770.34883538</v>
      </c>
      <c r="F54" s="43">
        <f t="shared" si="8"/>
        <v>232634770.34883538</v>
      </c>
      <c r="G54" s="43">
        <f>IF(A54="","",(G53-G53*'入力 Inputs'!$B$41-'入力 Inputs'!$B$57*(1+'入力 Inputs'!$B$91)^(50-1))*(1+'入力 Inputs'!$B$84))</f>
        <v>261337582.90102249</v>
      </c>
      <c r="H54" s="43" cm="1">
        <f t="array" ref="H54">IF(A54="","",IF(A54&lt;=10,G54*(1-INDEX('入力 Inputs'!$B$71:$B$80,A54)),G54))</f>
        <v>261337582.90102249</v>
      </c>
      <c r="I54" s="43">
        <f t="shared" si="9"/>
        <v>261337582.90102249</v>
      </c>
      <c r="J54" s="43">
        <f>IF(A54="","",(J53-J53*'入力 Inputs'!$B$41-'入力 Inputs'!$B$57*(1+'入力 Inputs'!$B$91)^(50-1))*(1+'入力 Inputs'!$B$85))</f>
        <v>330307913.29110318</v>
      </c>
      <c r="K54" s="43" cm="1">
        <f t="array" ref="K54">IF(A54="","",IF(A54&lt;=10,J54*(1-INDEX('入力 Inputs'!$B$71:$B$80,A54)),J54))</f>
        <v>330307913.29110318</v>
      </c>
      <c r="L54" s="43">
        <f t="shared" si="10"/>
        <v>330307913.29110318</v>
      </c>
      <c r="M54" s="170">
        <f>IF(A54="","",D54*'入力 Inputs'!$B$64)</f>
        <v>37221563255.81366</v>
      </c>
      <c r="N54">
        <f t="shared" si="11"/>
        <v>50</v>
      </c>
      <c r="O54">
        <f t="shared" si="12"/>
        <v>232634770.34883538</v>
      </c>
      <c r="P54">
        <f t="shared" si="13"/>
        <v>261337582.90102249</v>
      </c>
      <c r="Q54">
        <f t="shared" si="14"/>
        <v>330307913.29110318</v>
      </c>
    </row>
    <row r="55" spans="1:17" x14ac:dyDescent="0.25">
      <c r="A55" s="186">
        <f>IF(51&lt;='入力 Inputs'!$B$86,51,"")</f>
        <v>51</v>
      </c>
      <c r="B55" s="187">
        <f>IF(A55="","",'入力 Inputs'!$B$55+A55)</f>
        <v>97</v>
      </c>
      <c r="C55" s="43">
        <f t="shared" si="15"/>
        <v>0</v>
      </c>
      <c r="D55" s="43">
        <f>IF(A55="","",(D54-D54*'入力 Inputs'!$B$41-'入力 Inputs'!$B$57*(1+'入力 Inputs'!$B$91)^(51-1))*(1+'入力 Inputs'!$B$83))</f>
        <v>246808936.67563379</v>
      </c>
      <c r="E55" s="43" cm="1">
        <f t="array" ref="E55">IF(A55="","",IF(A55&lt;=10,D55*(1-INDEX('入力 Inputs'!$B$71:$B$80,A55)),D55))</f>
        <v>246808936.67563379</v>
      </c>
      <c r="F55" s="43">
        <f t="shared" si="8"/>
        <v>246808936.67563379</v>
      </c>
      <c r="G55" s="43">
        <f>IF(A55="","",(G54-G54*'入力 Inputs'!$B$41-'入力 Inputs'!$B$57*(1+'入力 Inputs'!$B$91)^(51-1))*(1+'入力 Inputs'!$B$84))</f>
        <v>277906485.41418505</v>
      </c>
      <c r="H55" s="43" cm="1">
        <f t="array" ref="H55">IF(A55="","",IF(A55&lt;=10,G55*(1-INDEX('入力 Inputs'!$B$71:$B$80,A55)),G55))</f>
        <v>277906485.41418505</v>
      </c>
      <c r="I55" s="43">
        <f t="shared" si="9"/>
        <v>277906485.41418505</v>
      </c>
      <c r="J55" s="43">
        <f>IF(A55="","",(J54-J54*'入力 Inputs'!$B$41-'入力 Inputs'!$B$57*(1+'入力 Inputs'!$B$91)^(51-1))*(1+'入力 Inputs'!$B$85))</f>
        <v>352898766.83493006</v>
      </c>
      <c r="K55" s="43" cm="1">
        <f t="array" ref="K55">IF(A55="","",IF(A55&lt;=10,J55*(1-INDEX('入力 Inputs'!$B$71:$B$80,A55)),J55))</f>
        <v>352898766.83493006</v>
      </c>
      <c r="L55" s="43">
        <f t="shared" si="10"/>
        <v>352898766.83493006</v>
      </c>
      <c r="M55" s="170">
        <f>IF(A55="","",D55*'入力 Inputs'!$B$64)</f>
        <v>39489429868.10141</v>
      </c>
      <c r="N55">
        <f t="shared" si="11"/>
        <v>51</v>
      </c>
      <c r="O55">
        <f t="shared" si="12"/>
        <v>246808936.67563379</v>
      </c>
      <c r="P55">
        <f t="shared" si="13"/>
        <v>277906485.41418505</v>
      </c>
      <c r="Q55">
        <f t="shared" si="14"/>
        <v>352898766.83493006</v>
      </c>
    </row>
    <row r="56" spans="1:17" x14ac:dyDescent="0.25">
      <c r="A56" s="186">
        <f>IF(52&lt;='入力 Inputs'!$B$86,52,"")</f>
        <v>52</v>
      </c>
      <c r="B56" s="187">
        <f>IF(A56="","",'入力 Inputs'!$B$55+A56)</f>
        <v>98</v>
      </c>
      <c r="C56" s="43">
        <f t="shared" si="15"/>
        <v>0</v>
      </c>
      <c r="D56" s="43">
        <f>IF(A56="","",(D55-D55*'入力 Inputs'!$B$41-'入力 Inputs'!$B$57*(1+'入力 Inputs'!$B$91)^(52-1))*(1+'入力 Inputs'!$B$83))</f>
        <v>261846735.57389423</v>
      </c>
      <c r="E56" s="43" cm="1">
        <f t="array" ref="E56">IF(A56="","",IF(A56&lt;=10,D56*(1-INDEX('入力 Inputs'!$B$71:$B$80,A56)),D56))</f>
        <v>261846735.57389423</v>
      </c>
      <c r="F56" s="43">
        <f t="shared" si="8"/>
        <v>261846735.57389423</v>
      </c>
      <c r="G56" s="43">
        <f>IF(A56="","",(G55-G55*'入力 Inputs'!$B$41-'入力 Inputs'!$B$57*(1+'入力 Inputs'!$B$91)^(52-1))*(1+'入力 Inputs'!$B$84))</f>
        <v>295525881.16133678</v>
      </c>
      <c r="H56" s="43" cm="1">
        <f t="array" ref="H56">IF(A56="","",IF(A56&lt;=10,G56*(1-INDEX('入力 Inputs'!$B$71:$B$80,A56)),G56))</f>
        <v>295525881.16133678</v>
      </c>
      <c r="I56" s="43">
        <f t="shared" si="9"/>
        <v>295525881.16133678</v>
      </c>
      <c r="J56" s="43">
        <f>IF(A56="","",(J55-J55*'入力 Inputs'!$B$41-'入力 Inputs'!$B$57*(1+'入力 Inputs'!$B$91)^(52-1))*(1+'入力 Inputs'!$B$85))</f>
        <v>377034705.12131536</v>
      </c>
      <c r="K56" s="43" cm="1">
        <f t="array" ref="K56">IF(A56="","",IF(A56&lt;=10,J56*(1-INDEX('入力 Inputs'!$B$71:$B$80,A56)),J56))</f>
        <v>377034705.12131536</v>
      </c>
      <c r="L56" s="43">
        <f t="shared" si="10"/>
        <v>377034705.12131536</v>
      </c>
      <c r="M56" s="170">
        <f>IF(A56="","",D56*'入力 Inputs'!$B$64)</f>
        <v>41895477691.823074</v>
      </c>
      <c r="N56">
        <f t="shared" si="11"/>
        <v>52</v>
      </c>
      <c r="O56">
        <f t="shared" si="12"/>
        <v>261846735.57389423</v>
      </c>
      <c r="P56">
        <f t="shared" si="13"/>
        <v>295525881.16133678</v>
      </c>
      <c r="Q56">
        <f t="shared" si="14"/>
        <v>377034705.12131536</v>
      </c>
    </row>
    <row r="57" spans="1:17" x14ac:dyDescent="0.25">
      <c r="A57" s="186">
        <f>IF(53&lt;='入力 Inputs'!$B$86,53,"")</f>
        <v>53</v>
      </c>
      <c r="B57" s="187">
        <f>IF(A57="","",'入力 Inputs'!$B$55+A57)</f>
        <v>99</v>
      </c>
      <c r="C57" s="43">
        <f t="shared" si="15"/>
        <v>0</v>
      </c>
      <c r="D57" s="43">
        <f>IF(A57="","",(D56-D56*'入力 Inputs'!$B$41-'入力 Inputs'!$B$57*(1+'入力 Inputs'!$B$91)^(53-1))*(1+'入力 Inputs'!$B$83))</f>
        <v>277800788.72628021</v>
      </c>
      <c r="E57" s="43" cm="1">
        <f t="array" ref="E57">IF(A57="","",IF(A57&lt;=10,D57*(1-INDEX('入力 Inputs'!$B$71:$B$80,A57)),D57))</f>
        <v>277800788.72628021</v>
      </c>
      <c r="F57" s="43">
        <f t="shared" si="8"/>
        <v>277800788.72628021</v>
      </c>
      <c r="G57" s="43">
        <f>IF(A57="","",(G56-G56*'入力 Inputs'!$B$41-'入力 Inputs'!$B$57*(1+'入力 Inputs'!$B$91)^(53-1))*(1+'入力 Inputs'!$B$84))</f>
        <v>314262373.54151767</v>
      </c>
      <c r="H57" s="43" cm="1">
        <f t="array" ref="H57">IF(A57="","",IF(A57&lt;=10,G57*(1-INDEX('入力 Inputs'!$B$71:$B$80,A57)),G57))</f>
        <v>314262373.54151767</v>
      </c>
      <c r="I57" s="43">
        <f t="shared" si="9"/>
        <v>314262373.54151767</v>
      </c>
      <c r="J57" s="43">
        <f>IF(A57="","",(J56-J56*'入力 Inputs'!$B$41-'入力 Inputs'!$B$57*(1+'入力 Inputs'!$B$91)^(53-1))*(1+'入力 Inputs'!$B$85))</f>
        <v>402821403.72065932</v>
      </c>
      <c r="K57" s="43" cm="1">
        <f t="array" ref="K57">IF(A57="","",IF(A57&lt;=10,J57*(1-INDEX('入力 Inputs'!$B$71:$B$80,A57)),J57))</f>
        <v>402821403.72065932</v>
      </c>
      <c r="L57" s="43">
        <f t="shared" si="10"/>
        <v>402821403.72065932</v>
      </c>
      <c r="M57" s="170">
        <f>IF(A57="","",D57*'入力 Inputs'!$B$64)</f>
        <v>44448126196.204834</v>
      </c>
      <c r="N57">
        <f t="shared" si="11"/>
        <v>53</v>
      </c>
      <c r="O57">
        <f t="shared" si="12"/>
        <v>277800788.72628021</v>
      </c>
      <c r="P57">
        <f t="shared" si="13"/>
        <v>314262373.54151767</v>
      </c>
      <c r="Q57">
        <f t="shared" si="14"/>
        <v>402821403.72065932</v>
      </c>
    </row>
    <row r="58" spans="1:17" x14ac:dyDescent="0.25">
      <c r="A58" s="186">
        <f>IF(54&lt;='入力 Inputs'!$B$86,54,"")</f>
        <v>54</v>
      </c>
      <c r="B58" s="187">
        <f>IF(A58="","",'入力 Inputs'!$B$55+A58)</f>
        <v>100</v>
      </c>
      <c r="C58" s="43">
        <f t="shared" si="15"/>
        <v>0</v>
      </c>
      <c r="D58" s="43">
        <f>IF(A58="","",(D57-D57*'入力 Inputs'!$B$41-'入力 Inputs'!$B$57*(1+'入力 Inputs'!$B$91)^(54-1))*(1+'入力 Inputs'!$B$83))</f>
        <v>294726924.10347152</v>
      </c>
      <c r="E58" s="43" cm="1">
        <f t="array" ref="E58">IF(A58="","",IF(A58&lt;=10,D58*(1-INDEX('入力 Inputs'!$B$71:$B$80,A58)),D58))</f>
        <v>294726924.10347152</v>
      </c>
      <c r="F58" s="43">
        <f t="shared" si="8"/>
        <v>294726924.10347152</v>
      </c>
      <c r="G58" s="43">
        <f>IF(A58="","",(G57-G57*'入力 Inputs'!$B$41-'入力 Inputs'!$B$57*(1+'入力 Inputs'!$B$91)^(54-1))*(1+'入力 Inputs'!$B$84))</f>
        <v>334186788.76082844</v>
      </c>
      <c r="H58" s="43" cm="1">
        <f t="array" ref="H58">IF(A58="","",IF(A58&lt;=10,G58*(1-INDEX('入力 Inputs'!$B$71:$B$80,A58)),G58))</f>
        <v>334186788.76082844</v>
      </c>
      <c r="I58" s="43">
        <f t="shared" si="9"/>
        <v>334186788.76082844</v>
      </c>
      <c r="J58" s="43">
        <f>IF(A58="","",(J57-J57*'入力 Inputs'!$B$41-'入力 Inputs'!$B$57*(1+'入力 Inputs'!$B$91)^(54-1))*(1+'入力 Inputs'!$B$85))</f>
        <v>430371765.86898249</v>
      </c>
      <c r="K58" s="43" cm="1">
        <f t="array" ref="K58">IF(A58="","",IF(A58&lt;=10,J58*(1-INDEX('入力 Inputs'!$B$71:$B$80,A58)),J58))</f>
        <v>430371765.86898249</v>
      </c>
      <c r="L58" s="43">
        <f t="shared" si="10"/>
        <v>430371765.86898249</v>
      </c>
      <c r="M58" s="170">
        <f>IF(A58="","",D58*'入力 Inputs'!$B$64)</f>
        <v>47156307856.555443</v>
      </c>
      <c r="N58">
        <f t="shared" si="11"/>
        <v>54</v>
      </c>
      <c r="O58">
        <f t="shared" si="12"/>
        <v>294726924.10347152</v>
      </c>
      <c r="P58">
        <f t="shared" si="13"/>
        <v>334186788.76082844</v>
      </c>
      <c r="Q58">
        <f t="shared" si="14"/>
        <v>430371765.86898249</v>
      </c>
    </row>
    <row r="59" spans="1:17" x14ac:dyDescent="0.25">
      <c r="A59" s="186">
        <f>IF(55&lt;='入力 Inputs'!$B$86,55,"")</f>
        <v>55</v>
      </c>
      <c r="B59" s="187">
        <f>IF(A59="","",'入力 Inputs'!$B$55+A59)</f>
        <v>101</v>
      </c>
      <c r="C59" s="43">
        <f t="shared" si="15"/>
        <v>0</v>
      </c>
      <c r="D59" s="43">
        <f>IF(A59="","",(D58-D58*'入力 Inputs'!$B$41-'入力 Inputs'!$B$57*(1+'入力 Inputs'!$B$91)^(55-1))*(1+'入力 Inputs'!$B$83))</f>
        <v>312684371.32673359</v>
      </c>
      <c r="E59" s="43" cm="1">
        <f t="array" ref="E59">IF(A59="","",IF(A59&lt;=10,D59*(1-INDEX('入力 Inputs'!$B$71:$B$80,A59)),D59))</f>
        <v>312684371.32673359</v>
      </c>
      <c r="F59" s="43">
        <f t="shared" si="8"/>
        <v>312684371.32673359</v>
      </c>
      <c r="G59" s="43">
        <f>IF(A59="","",(G58-G58*'入力 Inputs'!$B$41-'入力 Inputs'!$B$57*(1+'入力 Inputs'!$B$91)^(55-1))*(1+'入力 Inputs'!$B$84))</f>
        <v>355374443.56850696</v>
      </c>
      <c r="H59" s="43" cm="1">
        <f t="array" ref="H59">IF(A59="","",IF(A59&lt;=10,G59*(1-INDEX('入力 Inputs'!$B$71:$B$80,A59)),G59))</f>
        <v>355374443.56850696</v>
      </c>
      <c r="I59" s="43">
        <f t="shared" si="9"/>
        <v>355374443.56850696</v>
      </c>
      <c r="J59" s="43">
        <f>IF(A59="","",(J58-J58*'入力 Inputs'!$B$41-'入力 Inputs'!$B$57*(1+'入力 Inputs'!$B$91)^(55-1))*(1+'入力 Inputs'!$B$85))</f>
        <v>459806416.80366576</v>
      </c>
      <c r="K59" s="43" cm="1">
        <f t="array" ref="K59">IF(A59="","",IF(A59&lt;=10,J59*(1-INDEX('入力 Inputs'!$B$71:$B$80,A59)),J59))</f>
        <v>459806416.80366576</v>
      </c>
      <c r="L59" s="43">
        <f t="shared" si="10"/>
        <v>459806416.80366576</v>
      </c>
      <c r="M59" s="170">
        <f>IF(A59="","",D59*'入力 Inputs'!$B$64)</f>
        <v>50029499412.277374</v>
      </c>
      <c r="N59">
        <f t="shared" si="11"/>
        <v>55</v>
      </c>
      <c r="O59">
        <f t="shared" si="12"/>
        <v>312684371.32673359</v>
      </c>
      <c r="P59">
        <f t="shared" si="13"/>
        <v>355374443.56850696</v>
      </c>
      <c r="Q59">
        <f t="shared" si="14"/>
        <v>459806416.80366576</v>
      </c>
    </row>
    <row r="60" spans="1:17" x14ac:dyDescent="0.25">
      <c r="A60" s="186">
        <f>IF(56&lt;='入力 Inputs'!$B$86,56,"")</f>
        <v>56</v>
      </c>
      <c r="B60" s="187">
        <f>IF(A60="","",'入力 Inputs'!$B$55+A60)</f>
        <v>102</v>
      </c>
      <c r="C60" s="43">
        <f t="shared" si="15"/>
        <v>0</v>
      </c>
      <c r="D60" s="43">
        <f>IF(A60="","",(D59-D59*'入力 Inputs'!$B$41-'入力 Inputs'!$B$57*(1+'入力 Inputs'!$B$91)^(56-1))*(1+'入力 Inputs'!$B$83))</f>
        <v>331735968.93415105</v>
      </c>
      <c r="E60" s="43" cm="1">
        <f t="array" ref="E60">IF(A60="","",IF(A60&lt;=10,D60*(1-INDEX('入力 Inputs'!$B$71:$B$80,A60)),D60))</f>
        <v>331735968.93415105</v>
      </c>
      <c r="F60" s="43">
        <f t="shared" si="8"/>
        <v>331735968.93415105</v>
      </c>
      <c r="G60" s="43">
        <f>IF(A60="","",(G59-G59*'入力 Inputs'!$B$41-'入力 Inputs'!$B$57*(1+'入力 Inputs'!$B$91)^(56-1))*(1+'入力 Inputs'!$B$84))</f>
        <v>377905429.96812743</v>
      </c>
      <c r="H60" s="43" cm="1">
        <f t="array" ref="H60">IF(A60="","",IF(A60&lt;=10,G60*(1-INDEX('入力 Inputs'!$B$71:$B$80,A60)),G60))</f>
        <v>377905429.96812743</v>
      </c>
      <c r="I60" s="43">
        <f t="shared" si="9"/>
        <v>377905429.96812743</v>
      </c>
      <c r="J60" s="43">
        <f>IF(A60="","",(J59-J59*'入力 Inputs'!$B$41-'入力 Inputs'!$B$57*(1+'入力 Inputs'!$B$91)^(56-1))*(1+'入力 Inputs'!$B$85))</f>
        <v>491254231.90926892</v>
      </c>
      <c r="K60" s="43" cm="1">
        <f t="array" ref="K60">IF(A60="","",IF(A60&lt;=10,J60*(1-INDEX('入力 Inputs'!$B$71:$B$80,A60)),J60))</f>
        <v>491254231.90926892</v>
      </c>
      <c r="L60" s="43">
        <f t="shared" si="10"/>
        <v>491254231.90926892</v>
      </c>
      <c r="M60" s="170">
        <f>IF(A60="","",D60*'入力 Inputs'!$B$64)</f>
        <v>53077755029.464172</v>
      </c>
      <c r="N60">
        <f t="shared" si="11"/>
        <v>56</v>
      </c>
      <c r="O60">
        <f t="shared" si="12"/>
        <v>331735968.93415105</v>
      </c>
      <c r="P60">
        <f t="shared" si="13"/>
        <v>377905429.96812743</v>
      </c>
      <c r="Q60">
        <f t="shared" si="14"/>
        <v>491254231.90926892</v>
      </c>
    </row>
    <row r="61" spans="1:17" x14ac:dyDescent="0.25">
      <c r="A61" s="186">
        <f>IF(57&lt;='入力 Inputs'!$B$86,57,"")</f>
        <v>57</v>
      </c>
      <c r="B61" s="187">
        <f>IF(A61="","",'入力 Inputs'!$B$55+A61)</f>
        <v>103</v>
      </c>
      <c r="C61" s="43">
        <f t="shared" si="15"/>
        <v>0</v>
      </c>
      <c r="D61" s="43">
        <f>IF(A61="","",(D60-D60*'入力 Inputs'!$B$41-'入力 Inputs'!$B$57*(1+'入力 Inputs'!$B$91)^(57-1))*(1+'入力 Inputs'!$B$83))</f>
        <v>351948384.27583092</v>
      </c>
      <c r="E61" s="43" cm="1">
        <f t="array" ref="E61">IF(A61="","",IF(A61&lt;=10,D61*(1-INDEX('入力 Inputs'!$B$71:$B$80,A61)),D61))</f>
        <v>351948384.27583092</v>
      </c>
      <c r="F61" s="43">
        <f t="shared" si="8"/>
        <v>351948384.27583092</v>
      </c>
      <c r="G61" s="43">
        <f>IF(A61="","",(G60-G60*'入力 Inputs'!$B$41-'入力 Inputs'!$B$57*(1+'入力 Inputs'!$B$91)^(57-1))*(1+'入力 Inputs'!$B$84))</f>
        <v>401864917.98018789</v>
      </c>
      <c r="H61" s="43" cm="1">
        <f t="array" ref="H61">IF(A61="","",IF(A61&lt;=10,G61*(1-INDEX('入力 Inputs'!$B$71:$B$80,A61)),G61))</f>
        <v>401864917.98018789</v>
      </c>
      <c r="I61" s="43">
        <f t="shared" si="9"/>
        <v>401864917.98018789</v>
      </c>
      <c r="J61" s="43">
        <f>IF(A61="","",(J60-J60*'入力 Inputs'!$B$41-'入力 Inputs'!$B$57*(1+'入力 Inputs'!$B$91)^(57-1))*(1+'入力 Inputs'!$B$85))</f>
        <v>524852900.98586929</v>
      </c>
      <c r="K61" s="43" cm="1">
        <f t="array" ref="K61">IF(A61="","",IF(A61&lt;=10,J61*(1-INDEX('入力 Inputs'!$B$71:$B$80,A61)),J61))</f>
        <v>524852900.98586929</v>
      </c>
      <c r="L61" s="43">
        <f t="shared" si="10"/>
        <v>524852900.98586929</v>
      </c>
      <c r="M61" s="170">
        <f>IF(A61="","",D61*'入力 Inputs'!$B$64)</f>
        <v>56311741484.13295</v>
      </c>
      <c r="N61">
        <f t="shared" si="11"/>
        <v>57</v>
      </c>
      <c r="O61">
        <f t="shared" si="12"/>
        <v>351948384.27583092</v>
      </c>
      <c r="P61">
        <f t="shared" si="13"/>
        <v>401864917.98018789</v>
      </c>
      <c r="Q61">
        <f t="shared" si="14"/>
        <v>524852900.98586929</v>
      </c>
    </row>
    <row r="62" spans="1:17" x14ac:dyDescent="0.25">
      <c r="A62" s="186">
        <f>IF(58&lt;='入力 Inputs'!$B$86,58,"")</f>
        <v>58</v>
      </c>
      <c r="B62" s="187">
        <f>IF(A62="","",'入力 Inputs'!$B$55+A62)</f>
        <v>104</v>
      </c>
      <c r="C62" s="43">
        <f t="shared" si="15"/>
        <v>0</v>
      </c>
      <c r="D62" s="43">
        <f>IF(A62="","",(D61-D61*'入力 Inputs'!$B$41-'入力 Inputs'!$B$57*(1+'入力 Inputs'!$B$91)^(58-1))*(1+'入力 Inputs'!$B$83))</f>
        <v>373392346.80757272</v>
      </c>
      <c r="E62" s="43" cm="1">
        <f t="array" ref="E62">IF(A62="","",IF(A62&lt;=10,D62*(1-INDEX('入力 Inputs'!$B$71:$B$80,A62)),D62))</f>
        <v>373392346.80757272</v>
      </c>
      <c r="F62" s="43">
        <f t="shared" si="8"/>
        <v>373392346.80757272</v>
      </c>
      <c r="G62" s="43">
        <f>IF(A62="","",(G61-G61*'入力 Inputs'!$B$41-'入力 Inputs'!$B$57*(1+'入力 Inputs'!$B$91)^(58-1))*(1+'入力 Inputs'!$B$84))</f>
        <v>427343477.60058814</v>
      </c>
      <c r="H62" s="43" cm="1">
        <f t="array" ref="H62">IF(A62="","",IF(A62&lt;=10,G62*(1-INDEX('入力 Inputs'!$B$71:$B$80,A62)),G62))</f>
        <v>427343477.60058814</v>
      </c>
      <c r="I62" s="43">
        <f t="shared" si="9"/>
        <v>427343477.60058814</v>
      </c>
      <c r="J62" s="43">
        <f>IF(A62="","",(J61-J61*'入力 Inputs'!$B$41-'入力 Inputs'!$B$57*(1+'入力 Inputs'!$B$91)^(58-1))*(1+'入力 Inputs'!$B$85))</f>
        <v>560749531.11051869</v>
      </c>
      <c r="K62" s="43" cm="1">
        <f t="array" ref="K62">IF(A62="","",IF(A62&lt;=10,J62*(1-INDEX('入力 Inputs'!$B$71:$B$80,A62)),J62))</f>
        <v>560749531.11051869</v>
      </c>
      <c r="L62" s="43">
        <f t="shared" si="10"/>
        <v>560749531.11051869</v>
      </c>
      <c r="M62" s="170">
        <f>IF(A62="","",D62*'入力 Inputs'!$B$64)</f>
        <v>59742775489.211639</v>
      </c>
      <c r="N62">
        <f t="shared" si="11"/>
        <v>58</v>
      </c>
      <c r="O62">
        <f t="shared" si="12"/>
        <v>373392346.80757272</v>
      </c>
      <c r="P62">
        <f t="shared" si="13"/>
        <v>427343477.60058814</v>
      </c>
      <c r="Q62">
        <f t="shared" si="14"/>
        <v>560749531.11051869</v>
      </c>
    </row>
    <row r="63" spans="1:17" x14ac:dyDescent="0.25">
      <c r="A63" s="186">
        <f>IF(59&lt;='入力 Inputs'!$B$86,59,"")</f>
        <v>59</v>
      </c>
      <c r="B63" s="187">
        <f>IF(A63="","",'入力 Inputs'!$B$55+A63)</f>
        <v>105</v>
      </c>
      <c r="C63" s="43">
        <f t="shared" si="15"/>
        <v>0</v>
      </c>
      <c r="D63" s="43">
        <f>IF(A63="","",(D62-D62*'入力 Inputs'!$B$41-'入力 Inputs'!$B$57*(1+'入力 Inputs'!$B$91)^(59-1))*(1+'入力 Inputs'!$B$83))</f>
        <v>396142895.59939015</v>
      </c>
      <c r="E63" s="43" cm="1">
        <f t="array" ref="E63">IF(A63="","",IF(A63&lt;=10,D63*(1-INDEX('入力 Inputs'!$B$71:$B$80,A63)),D63))</f>
        <v>396142895.59939015</v>
      </c>
      <c r="F63" s="43">
        <f t="shared" si="8"/>
        <v>396142895.59939015</v>
      </c>
      <c r="G63" s="43">
        <f>IF(A63="","",(G62-G62*'入力 Inputs'!$B$41-'入力 Inputs'!$B$57*(1+'入力 Inputs'!$B$91)^(59-1))*(1+'入力 Inputs'!$B$84))</f>
        <v>454437421.17206568</v>
      </c>
      <c r="H63" s="43" cm="1">
        <f t="array" ref="H63">IF(A63="","",IF(A63&lt;=10,G63*(1-INDEX('入力 Inputs'!$B$71:$B$80,A63)),G63))</f>
        <v>454437421.17206568</v>
      </c>
      <c r="I63" s="43">
        <f t="shared" si="9"/>
        <v>454437421.17206568</v>
      </c>
      <c r="J63" s="43">
        <f>IF(A63="","",(J62-J62*'入力 Inputs'!$B$41-'入力 Inputs'!$B$57*(1+'入力 Inputs'!$B$91)^(59-1))*(1+'入力 Inputs'!$B$85))</f>
        <v>599101290.73139513</v>
      </c>
      <c r="K63" s="43" cm="1">
        <f t="array" ref="K63">IF(A63="","",IF(A63&lt;=10,J63*(1-INDEX('入力 Inputs'!$B$71:$B$80,A63)),J63))</f>
        <v>599101290.73139513</v>
      </c>
      <c r="L63" s="43">
        <f t="shared" si="10"/>
        <v>599101290.73139513</v>
      </c>
      <c r="M63" s="170">
        <f>IF(A63="","",D63*'入力 Inputs'!$B$64)</f>
        <v>63382863295.90242</v>
      </c>
      <c r="N63">
        <f t="shared" si="11"/>
        <v>59</v>
      </c>
      <c r="O63">
        <f t="shared" si="12"/>
        <v>396142895.59939015</v>
      </c>
      <c r="P63">
        <f t="shared" si="13"/>
        <v>454437421.17206568</v>
      </c>
      <c r="Q63">
        <f t="shared" si="14"/>
        <v>599101290.73139513</v>
      </c>
    </row>
    <row r="64" spans="1:17" x14ac:dyDescent="0.25">
      <c r="A64" s="186">
        <f>IF(60&lt;='入力 Inputs'!$B$86,60,"")</f>
        <v>60</v>
      </c>
      <c r="B64" s="187">
        <f>IF(A64="","",'入力 Inputs'!$B$55+A64)</f>
        <v>106</v>
      </c>
      <c r="C64" s="43">
        <f t="shared" si="15"/>
        <v>0</v>
      </c>
      <c r="D64" s="43">
        <f>IF(A64="","",(D63-D63*'入力 Inputs'!$B$41-'入力 Inputs'!$B$57*(1+'入力 Inputs'!$B$91)^(60-1))*(1+'入力 Inputs'!$B$83))</f>
        <v>420279641.92501169</v>
      </c>
      <c r="E64" s="43" cm="1">
        <f t="array" ref="E64">IF(A64="","",IF(A64&lt;=10,D64*(1-INDEX('入力 Inputs'!$B$71:$B$80,A64)),D64))</f>
        <v>420279641.92501169</v>
      </c>
      <c r="F64" s="43">
        <f t="shared" si="8"/>
        <v>420279641.92501169</v>
      </c>
      <c r="G64" s="43">
        <f>IF(A64="","",(G63-G63*'入力 Inputs'!$B$41-'入力 Inputs'!$B$57*(1+'入力 Inputs'!$B$91)^(60-1))*(1+'入力 Inputs'!$B$84))</f>
        <v>483249167.46282101</v>
      </c>
      <c r="H64" s="43" cm="1">
        <f t="array" ref="H64">IF(A64="","",IF(A64&lt;=10,G64*(1-INDEX('入力 Inputs'!$B$71:$B$80,A64)),G64))</f>
        <v>483249167.46282101</v>
      </c>
      <c r="I64" s="43">
        <f t="shared" si="9"/>
        <v>483249167.46282101</v>
      </c>
      <c r="J64" s="43">
        <f>IF(A64="","",(J63-J63*'入力 Inputs'!$B$41-'入力 Inputs'!$B$57*(1+'入力 Inputs'!$B$91)^(60-1))*(1+'入力 Inputs'!$B$85))</f>
        <v>640076097.81475854</v>
      </c>
      <c r="K64" s="43" cm="1">
        <f t="array" ref="K64">IF(A64="","",IF(A64&lt;=10,J64*(1-INDEX('入力 Inputs'!$B$71:$B$80,A64)),J64))</f>
        <v>640076097.81475854</v>
      </c>
      <c r="L64" s="43">
        <f t="shared" si="10"/>
        <v>640076097.81475854</v>
      </c>
      <c r="M64" s="170">
        <f>IF(A64="","",D64*'入力 Inputs'!$B$64)</f>
        <v>67244742708.001869</v>
      </c>
      <c r="N64">
        <f t="shared" si="11"/>
        <v>60</v>
      </c>
      <c r="O64">
        <f t="shared" si="12"/>
        <v>420279641.92501169</v>
      </c>
      <c r="P64">
        <f t="shared" si="13"/>
        <v>483249167.46282101</v>
      </c>
      <c r="Q64">
        <f t="shared" si="14"/>
        <v>640076097.81475854</v>
      </c>
    </row>
    <row r="65" spans="1:17" x14ac:dyDescent="0.25">
      <c r="A65" s="186" t="str">
        <f>IF(61&lt;='入力 Inputs'!$B$86,61,"")</f>
        <v/>
      </c>
      <c r="B65" s="187" t="str">
        <f>IF(A65="","",'入力 Inputs'!$B$55+A65)</f>
        <v/>
      </c>
      <c r="C65" s="43" t="str">
        <f t="shared" si="15"/>
        <v/>
      </c>
      <c r="D65" s="43" t="str">
        <f>IF(A65="","",(D64-D64*'入力 Inputs'!$B$41-'入力 Inputs'!$B$57*(1+'入力 Inputs'!$B$91)^(61-1))*(1+'入力 Inputs'!$B$83))</f>
        <v/>
      </c>
      <c r="E65" s="43" t="str" cm="1">
        <f t="array" ref="E65">IF(A65="","",IF(A65&lt;=10,D65*(1-INDEX('入力 Inputs'!$B$71:$B$80,A65)),D65))</f>
        <v/>
      </c>
      <c r="F65" s="43" t="str">
        <f t="shared" si="8"/>
        <v/>
      </c>
      <c r="G65" s="43" t="str">
        <f>IF(A65="","",(G64-G64*'入力 Inputs'!$B$41-'入力 Inputs'!$B$57*(1+'入力 Inputs'!$B$91)^(61-1))*(1+'入力 Inputs'!$B$84))</f>
        <v/>
      </c>
      <c r="H65" s="43" t="str" cm="1">
        <f t="array" ref="H65">IF(A65="","",IF(A65&lt;=10,G65*(1-INDEX('入力 Inputs'!$B$71:$B$80,A65)),G65))</f>
        <v/>
      </c>
      <c r="I65" s="43" t="str">
        <f t="shared" si="9"/>
        <v/>
      </c>
      <c r="J65" s="43" t="str">
        <f>IF(A65="","",(J64-J64*'入力 Inputs'!$B$41-'入力 Inputs'!$B$57*(1+'入力 Inputs'!$B$91)^(61-1))*(1+'入力 Inputs'!$B$85))</f>
        <v/>
      </c>
      <c r="K65" s="43" t="str" cm="1">
        <f t="array" ref="K65">IF(A65="","",IF(A65&lt;=10,J65*(1-INDEX('入力 Inputs'!$B$71:$B$80,A65)),J65))</f>
        <v/>
      </c>
      <c r="L65" s="43" t="str">
        <f t="shared" si="10"/>
        <v/>
      </c>
      <c r="M65" s="170" t="str">
        <f>IF(A65="","",D65*'入力 Inputs'!$B$64)</f>
        <v/>
      </c>
      <c r="N65" t="str">
        <f t="shared" si="11"/>
        <v/>
      </c>
      <c r="O65" t="str">
        <f t="shared" si="12"/>
        <v/>
      </c>
      <c r="P65" t="str">
        <f t="shared" si="13"/>
        <v/>
      </c>
      <c r="Q65" t="str">
        <f t="shared" si="14"/>
        <v/>
      </c>
    </row>
    <row r="66" spans="1:17" x14ac:dyDescent="0.25">
      <c r="A66" s="186" t="str">
        <f>IF(62&lt;='入力 Inputs'!$B$86,62,"")</f>
        <v/>
      </c>
      <c r="B66" s="187" t="str">
        <f>IF(A66="","",'入力 Inputs'!$B$55+A66)</f>
        <v/>
      </c>
      <c r="C66" s="43" t="str">
        <f t="shared" si="15"/>
        <v/>
      </c>
      <c r="D66" s="43" t="str">
        <f>IF(A66="","",(D65-D65*'入力 Inputs'!$B$41-'入力 Inputs'!$B$57*(1+'入力 Inputs'!$B$91)^(62-1))*(1+'入力 Inputs'!$B$83))</f>
        <v/>
      </c>
      <c r="E66" s="43" t="str" cm="1">
        <f t="array" ref="E66">IF(A66="","",IF(A66&lt;=10,D66*(1-INDEX('入力 Inputs'!$B$71:$B$80,A66)),D66))</f>
        <v/>
      </c>
      <c r="F66" s="43" t="str">
        <f t="shared" si="8"/>
        <v/>
      </c>
      <c r="G66" s="43" t="str">
        <f>IF(A66="","",(G65-G65*'入力 Inputs'!$B$41-'入力 Inputs'!$B$57*(1+'入力 Inputs'!$B$91)^(62-1))*(1+'入力 Inputs'!$B$84))</f>
        <v/>
      </c>
      <c r="H66" s="43" t="str" cm="1">
        <f t="array" ref="H66">IF(A66="","",IF(A66&lt;=10,G66*(1-INDEX('入力 Inputs'!$B$71:$B$80,A66)),G66))</f>
        <v/>
      </c>
      <c r="I66" s="43" t="str">
        <f t="shared" si="9"/>
        <v/>
      </c>
      <c r="J66" s="43" t="str">
        <f>IF(A66="","",(J65-J65*'入力 Inputs'!$B$41-'入力 Inputs'!$B$57*(1+'入力 Inputs'!$B$91)^(62-1))*(1+'入力 Inputs'!$B$85))</f>
        <v/>
      </c>
      <c r="K66" s="43" t="str" cm="1">
        <f t="array" ref="K66">IF(A66="","",IF(A66&lt;=10,J66*(1-INDEX('入力 Inputs'!$B$71:$B$80,A66)),J66))</f>
        <v/>
      </c>
      <c r="L66" s="43" t="str">
        <f t="shared" si="10"/>
        <v/>
      </c>
      <c r="M66" s="170" t="str">
        <f>IF(A66="","",D66*'入力 Inputs'!$B$64)</f>
        <v/>
      </c>
      <c r="N66" t="str">
        <f t="shared" si="11"/>
        <v/>
      </c>
      <c r="O66" t="str">
        <f t="shared" si="12"/>
        <v/>
      </c>
      <c r="P66" t="str">
        <f t="shared" si="13"/>
        <v/>
      </c>
      <c r="Q66" t="str">
        <f t="shared" si="14"/>
        <v/>
      </c>
    </row>
    <row r="67" spans="1:17" x14ac:dyDescent="0.25">
      <c r="A67" s="186" t="str">
        <f>IF(63&lt;='入力 Inputs'!$B$86,63,"")</f>
        <v/>
      </c>
      <c r="B67" s="187" t="str">
        <f>IF(A67="","",'入力 Inputs'!$B$55+A67)</f>
        <v/>
      </c>
      <c r="C67" s="43" t="str">
        <f t="shared" si="15"/>
        <v/>
      </c>
      <c r="D67" s="43" t="str">
        <f>IF(A67="","",(D66-D66*'入力 Inputs'!$B$41-'入力 Inputs'!$B$57*(1+'入力 Inputs'!$B$91)^(63-1))*(1+'入力 Inputs'!$B$83))</f>
        <v/>
      </c>
      <c r="E67" s="43" t="str" cm="1">
        <f t="array" ref="E67">IF(A67="","",IF(A67&lt;=10,D67*(1-INDEX('入力 Inputs'!$B$71:$B$80,A67)),D67))</f>
        <v/>
      </c>
      <c r="F67" s="43" t="str">
        <f t="shared" si="8"/>
        <v/>
      </c>
      <c r="G67" s="43" t="str">
        <f>IF(A67="","",(G66-G66*'入力 Inputs'!$B$41-'入力 Inputs'!$B$57*(1+'入力 Inputs'!$B$91)^(63-1))*(1+'入力 Inputs'!$B$84))</f>
        <v/>
      </c>
      <c r="H67" s="43" t="str" cm="1">
        <f t="array" ref="H67">IF(A67="","",IF(A67&lt;=10,G67*(1-INDEX('入力 Inputs'!$B$71:$B$80,A67)),G67))</f>
        <v/>
      </c>
      <c r="I67" s="43" t="str">
        <f t="shared" si="9"/>
        <v/>
      </c>
      <c r="J67" s="43" t="str">
        <f>IF(A67="","",(J66-J66*'入力 Inputs'!$B$41-'入力 Inputs'!$B$57*(1+'入力 Inputs'!$B$91)^(63-1))*(1+'入力 Inputs'!$B$85))</f>
        <v/>
      </c>
      <c r="K67" s="43" t="str" cm="1">
        <f t="array" ref="K67">IF(A67="","",IF(A67&lt;=10,J67*(1-INDEX('入力 Inputs'!$B$71:$B$80,A67)),J67))</f>
        <v/>
      </c>
      <c r="L67" s="43" t="str">
        <f t="shared" si="10"/>
        <v/>
      </c>
      <c r="M67" s="170" t="str">
        <f>IF(A67="","",D67*'入力 Inputs'!$B$64)</f>
        <v/>
      </c>
      <c r="N67" t="str">
        <f t="shared" si="11"/>
        <v/>
      </c>
      <c r="O67" t="str">
        <f t="shared" si="12"/>
        <v/>
      </c>
      <c r="P67" t="str">
        <f t="shared" si="13"/>
        <v/>
      </c>
      <c r="Q67" t="str">
        <f t="shared" si="14"/>
        <v/>
      </c>
    </row>
    <row r="68" spans="1:17" x14ac:dyDescent="0.25">
      <c r="A68" s="186" t="str">
        <f>IF(64&lt;='入力 Inputs'!$B$86,64,"")</f>
        <v/>
      </c>
      <c r="B68" s="187" t="str">
        <f>IF(A68="","",'入力 Inputs'!$B$55+A68)</f>
        <v/>
      </c>
      <c r="C68" s="43" t="str">
        <f t="shared" si="15"/>
        <v/>
      </c>
      <c r="D68" s="43" t="str">
        <f>IF(A68="","",(D67-D67*'入力 Inputs'!$B$41-'入力 Inputs'!$B$57*(1+'入力 Inputs'!$B$91)^(64-1))*(1+'入力 Inputs'!$B$83))</f>
        <v/>
      </c>
      <c r="E68" s="43" t="str" cm="1">
        <f t="array" ref="E68">IF(A68="","",IF(A68&lt;=10,D68*(1-INDEX('入力 Inputs'!$B$71:$B$80,A68)),D68))</f>
        <v/>
      </c>
      <c r="F68" s="43" t="str">
        <f t="shared" si="8"/>
        <v/>
      </c>
      <c r="G68" s="43" t="str">
        <f>IF(A68="","",(G67-G67*'入力 Inputs'!$B$41-'入力 Inputs'!$B$57*(1+'入力 Inputs'!$B$91)^(64-1))*(1+'入力 Inputs'!$B$84))</f>
        <v/>
      </c>
      <c r="H68" s="43" t="str" cm="1">
        <f t="array" ref="H68">IF(A68="","",IF(A68&lt;=10,G68*(1-INDEX('入力 Inputs'!$B$71:$B$80,A68)),G68))</f>
        <v/>
      </c>
      <c r="I68" s="43" t="str">
        <f t="shared" si="9"/>
        <v/>
      </c>
      <c r="J68" s="43" t="str">
        <f>IF(A68="","",(J67-J67*'入力 Inputs'!$B$41-'入力 Inputs'!$B$57*(1+'入力 Inputs'!$B$91)^(64-1))*(1+'入力 Inputs'!$B$85))</f>
        <v/>
      </c>
      <c r="K68" s="43" t="str" cm="1">
        <f t="array" ref="K68">IF(A68="","",IF(A68&lt;=10,J68*(1-INDEX('入力 Inputs'!$B$71:$B$80,A68)),J68))</f>
        <v/>
      </c>
      <c r="L68" s="43" t="str">
        <f t="shared" si="10"/>
        <v/>
      </c>
      <c r="M68" s="170" t="str">
        <f>IF(A68="","",D68*'入力 Inputs'!$B$64)</f>
        <v/>
      </c>
      <c r="N68" t="str">
        <f t="shared" si="11"/>
        <v/>
      </c>
      <c r="O68" t="str">
        <f t="shared" si="12"/>
        <v/>
      </c>
      <c r="P68" t="str">
        <f t="shared" si="13"/>
        <v/>
      </c>
      <c r="Q68" t="str">
        <f t="shared" si="14"/>
        <v/>
      </c>
    </row>
    <row r="69" spans="1:17" x14ac:dyDescent="0.25">
      <c r="A69" s="186" t="str">
        <f>IF(65&lt;='入力 Inputs'!$B$86,65,"")</f>
        <v/>
      </c>
      <c r="B69" s="187" t="str">
        <f>IF(A69="","",'入力 Inputs'!$B$55+A69)</f>
        <v/>
      </c>
      <c r="C69" s="43" t="str">
        <f t="shared" si="15"/>
        <v/>
      </c>
      <c r="D69" s="43" t="str">
        <f>IF(A69="","",(D68-D68*'入力 Inputs'!$B$41-'入力 Inputs'!$B$57*(1+'入力 Inputs'!$B$91)^(65-1))*(1+'入力 Inputs'!$B$83))</f>
        <v/>
      </c>
      <c r="E69" s="43" t="str" cm="1">
        <f t="array" ref="E69">IF(A69="","",IF(A69&lt;=10,D69*(1-INDEX('入力 Inputs'!$B$71:$B$80,A69)),D69))</f>
        <v/>
      </c>
      <c r="F69" s="43" t="str">
        <f t="shared" ref="F69:F100" si="16">IF(A69="","",D69)</f>
        <v/>
      </c>
      <c r="G69" s="43" t="str">
        <f>IF(A69="","",(G68-G68*'入力 Inputs'!$B$41-'入力 Inputs'!$B$57*(1+'入力 Inputs'!$B$91)^(65-1))*(1+'入力 Inputs'!$B$84))</f>
        <v/>
      </c>
      <c r="H69" s="43" t="str" cm="1">
        <f t="array" ref="H69">IF(A69="","",IF(A69&lt;=10,G69*(1-INDEX('入力 Inputs'!$B$71:$B$80,A69)),G69))</f>
        <v/>
      </c>
      <c r="I69" s="43" t="str">
        <f t="shared" ref="I69:I100" si="17">IF(A69="","",G69)</f>
        <v/>
      </c>
      <c r="J69" s="43" t="str">
        <f>IF(A69="","",(J68-J68*'入力 Inputs'!$B$41-'入力 Inputs'!$B$57*(1+'入力 Inputs'!$B$91)^(65-1))*(1+'入力 Inputs'!$B$85))</f>
        <v/>
      </c>
      <c r="K69" s="43" t="str" cm="1">
        <f t="array" ref="K69">IF(A69="","",IF(A69&lt;=10,J69*(1-INDEX('入力 Inputs'!$B$71:$B$80,A69)),J69))</f>
        <v/>
      </c>
      <c r="L69" s="43" t="str">
        <f t="shared" ref="L69:L100" si="18">IF(A69="","",J69)</f>
        <v/>
      </c>
      <c r="M69" s="170" t="str">
        <f>IF(A69="","",D69*'入力 Inputs'!$B$64)</f>
        <v/>
      </c>
      <c r="N69" t="str">
        <f t="shared" ref="N69:N100" si="19">A69</f>
        <v/>
      </c>
      <c r="O69" t="str">
        <f t="shared" ref="O69:O100" si="20">IF(A69="","",D69)</f>
        <v/>
      </c>
      <c r="P69" t="str">
        <f t="shared" ref="P69:P100" si="21">IF(A69="","",G69)</f>
        <v/>
      </c>
      <c r="Q69" t="str">
        <f t="shared" ref="Q69:Q100" si="22">IF(A69="","",J69)</f>
        <v/>
      </c>
    </row>
    <row r="70" spans="1:17" x14ac:dyDescent="0.25">
      <c r="A70" s="186" t="str">
        <f>IF(66&lt;='入力 Inputs'!$B$86,66,"")</f>
        <v/>
      </c>
      <c r="B70" s="187" t="str">
        <f>IF(A70="","",'入力 Inputs'!$B$55+A70)</f>
        <v/>
      </c>
      <c r="C70" s="43" t="str">
        <f t="shared" ref="C70:C101" si="23">IF(A70="","",0)</f>
        <v/>
      </c>
      <c r="D70" s="43" t="str">
        <f>IF(A70="","",(D69-D69*'入力 Inputs'!$B$41-'入力 Inputs'!$B$57*(1+'入力 Inputs'!$B$91)^(66-1))*(1+'入力 Inputs'!$B$83))</f>
        <v/>
      </c>
      <c r="E70" s="43" t="str" cm="1">
        <f t="array" ref="E70">IF(A70="","",IF(A70&lt;=10,D70*(1-INDEX('入力 Inputs'!$B$71:$B$80,A70)),D70))</f>
        <v/>
      </c>
      <c r="F70" s="43" t="str">
        <f t="shared" si="16"/>
        <v/>
      </c>
      <c r="G70" s="43" t="str">
        <f>IF(A70="","",(G69-G69*'入力 Inputs'!$B$41-'入力 Inputs'!$B$57*(1+'入力 Inputs'!$B$91)^(66-1))*(1+'入力 Inputs'!$B$84))</f>
        <v/>
      </c>
      <c r="H70" s="43" t="str" cm="1">
        <f t="array" ref="H70">IF(A70="","",IF(A70&lt;=10,G70*(1-INDEX('入力 Inputs'!$B$71:$B$80,A70)),G70))</f>
        <v/>
      </c>
      <c r="I70" s="43" t="str">
        <f t="shared" si="17"/>
        <v/>
      </c>
      <c r="J70" s="43" t="str">
        <f>IF(A70="","",(J69-J69*'入力 Inputs'!$B$41-'入力 Inputs'!$B$57*(1+'入力 Inputs'!$B$91)^(66-1))*(1+'入力 Inputs'!$B$85))</f>
        <v/>
      </c>
      <c r="K70" s="43" t="str" cm="1">
        <f t="array" ref="K70">IF(A70="","",IF(A70&lt;=10,J70*(1-INDEX('入力 Inputs'!$B$71:$B$80,A70)),J70))</f>
        <v/>
      </c>
      <c r="L70" s="43" t="str">
        <f t="shared" si="18"/>
        <v/>
      </c>
      <c r="M70" s="170" t="str">
        <f>IF(A70="","",D70*'入力 Inputs'!$B$64)</f>
        <v/>
      </c>
      <c r="N70" t="str">
        <f t="shared" si="19"/>
        <v/>
      </c>
      <c r="O70" t="str">
        <f t="shared" si="20"/>
        <v/>
      </c>
      <c r="P70" t="str">
        <f t="shared" si="21"/>
        <v/>
      </c>
      <c r="Q70" t="str">
        <f t="shared" si="22"/>
        <v/>
      </c>
    </row>
    <row r="71" spans="1:17" x14ac:dyDescent="0.25">
      <c r="A71" s="186" t="str">
        <f>IF(67&lt;='入力 Inputs'!$B$86,67,"")</f>
        <v/>
      </c>
      <c r="B71" s="187" t="str">
        <f>IF(A71="","",'入力 Inputs'!$B$55+A71)</f>
        <v/>
      </c>
      <c r="C71" s="43" t="str">
        <f t="shared" si="23"/>
        <v/>
      </c>
      <c r="D71" s="43" t="str">
        <f>IF(A71="","",(D70-D70*'入力 Inputs'!$B$41-'入力 Inputs'!$B$57*(1+'入力 Inputs'!$B$91)^(67-1))*(1+'入力 Inputs'!$B$83))</f>
        <v/>
      </c>
      <c r="E71" s="43" t="str" cm="1">
        <f t="array" ref="E71">IF(A71="","",IF(A71&lt;=10,D71*(1-INDEX('入力 Inputs'!$B$71:$B$80,A71)),D71))</f>
        <v/>
      </c>
      <c r="F71" s="43" t="str">
        <f t="shared" si="16"/>
        <v/>
      </c>
      <c r="G71" s="43" t="str">
        <f>IF(A71="","",(G70-G70*'入力 Inputs'!$B$41-'入力 Inputs'!$B$57*(1+'入力 Inputs'!$B$91)^(67-1))*(1+'入力 Inputs'!$B$84))</f>
        <v/>
      </c>
      <c r="H71" s="43" t="str" cm="1">
        <f t="array" ref="H71">IF(A71="","",IF(A71&lt;=10,G71*(1-INDEX('入力 Inputs'!$B$71:$B$80,A71)),G71))</f>
        <v/>
      </c>
      <c r="I71" s="43" t="str">
        <f t="shared" si="17"/>
        <v/>
      </c>
      <c r="J71" s="43" t="str">
        <f>IF(A71="","",(J70-J70*'入力 Inputs'!$B$41-'入力 Inputs'!$B$57*(1+'入力 Inputs'!$B$91)^(67-1))*(1+'入力 Inputs'!$B$85))</f>
        <v/>
      </c>
      <c r="K71" s="43" t="str" cm="1">
        <f t="array" ref="K71">IF(A71="","",IF(A71&lt;=10,J71*(1-INDEX('入力 Inputs'!$B$71:$B$80,A71)),J71))</f>
        <v/>
      </c>
      <c r="L71" s="43" t="str">
        <f t="shared" si="18"/>
        <v/>
      </c>
      <c r="M71" s="170" t="str">
        <f>IF(A71="","",D71*'入力 Inputs'!$B$64)</f>
        <v/>
      </c>
      <c r="N71" t="str">
        <f t="shared" si="19"/>
        <v/>
      </c>
      <c r="O71" t="str">
        <f t="shared" si="20"/>
        <v/>
      </c>
      <c r="P71" t="str">
        <f t="shared" si="21"/>
        <v/>
      </c>
      <c r="Q71" t="str">
        <f t="shared" si="22"/>
        <v/>
      </c>
    </row>
    <row r="72" spans="1:17" x14ac:dyDescent="0.25">
      <c r="A72" s="186" t="str">
        <f>IF(68&lt;='入力 Inputs'!$B$86,68,"")</f>
        <v/>
      </c>
      <c r="B72" s="187" t="str">
        <f>IF(A72="","",'入力 Inputs'!$B$55+A72)</f>
        <v/>
      </c>
      <c r="C72" s="43" t="str">
        <f t="shared" si="23"/>
        <v/>
      </c>
      <c r="D72" s="43" t="str">
        <f>IF(A72="","",(D71-D71*'入力 Inputs'!$B$41-'入力 Inputs'!$B$57*(1+'入力 Inputs'!$B$91)^(68-1))*(1+'入力 Inputs'!$B$83))</f>
        <v/>
      </c>
      <c r="E72" s="43" t="str" cm="1">
        <f t="array" ref="E72">IF(A72="","",IF(A72&lt;=10,D72*(1-INDEX('入力 Inputs'!$B$71:$B$80,A72)),D72))</f>
        <v/>
      </c>
      <c r="F72" s="43" t="str">
        <f t="shared" si="16"/>
        <v/>
      </c>
      <c r="G72" s="43" t="str">
        <f>IF(A72="","",(G71-G71*'入力 Inputs'!$B$41-'入力 Inputs'!$B$57*(1+'入力 Inputs'!$B$91)^(68-1))*(1+'入力 Inputs'!$B$84))</f>
        <v/>
      </c>
      <c r="H72" s="43" t="str" cm="1">
        <f t="array" ref="H72">IF(A72="","",IF(A72&lt;=10,G72*(1-INDEX('入力 Inputs'!$B$71:$B$80,A72)),G72))</f>
        <v/>
      </c>
      <c r="I72" s="43" t="str">
        <f t="shared" si="17"/>
        <v/>
      </c>
      <c r="J72" s="43" t="str">
        <f>IF(A72="","",(J71-J71*'入力 Inputs'!$B$41-'入力 Inputs'!$B$57*(1+'入力 Inputs'!$B$91)^(68-1))*(1+'入力 Inputs'!$B$85))</f>
        <v/>
      </c>
      <c r="K72" s="43" t="str" cm="1">
        <f t="array" ref="K72">IF(A72="","",IF(A72&lt;=10,J72*(1-INDEX('入力 Inputs'!$B$71:$B$80,A72)),J72))</f>
        <v/>
      </c>
      <c r="L72" s="43" t="str">
        <f t="shared" si="18"/>
        <v/>
      </c>
      <c r="M72" s="170" t="str">
        <f>IF(A72="","",D72*'入力 Inputs'!$B$64)</f>
        <v/>
      </c>
      <c r="N72" t="str">
        <f t="shared" si="19"/>
        <v/>
      </c>
      <c r="O72" t="str">
        <f t="shared" si="20"/>
        <v/>
      </c>
      <c r="P72" t="str">
        <f t="shared" si="21"/>
        <v/>
      </c>
      <c r="Q72" t="str">
        <f t="shared" si="22"/>
        <v/>
      </c>
    </row>
    <row r="73" spans="1:17" x14ac:dyDescent="0.25">
      <c r="A73" s="186" t="str">
        <f>IF(69&lt;='入力 Inputs'!$B$86,69,"")</f>
        <v/>
      </c>
      <c r="B73" s="187" t="str">
        <f>IF(A73="","",'入力 Inputs'!$B$55+A73)</f>
        <v/>
      </c>
      <c r="C73" s="43" t="str">
        <f t="shared" si="23"/>
        <v/>
      </c>
      <c r="D73" s="43" t="str">
        <f>IF(A73="","",(D72-D72*'入力 Inputs'!$B$41-'入力 Inputs'!$B$57*(1+'入力 Inputs'!$B$91)^(69-1))*(1+'入力 Inputs'!$B$83))</f>
        <v/>
      </c>
      <c r="E73" s="43" t="str" cm="1">
        <f t="array" ref="E73">IF(A73="","",IF(A73&lt;=10,D73*(1-INDEX('入力 Inputs'!$B$71:$B$80,A73)),D73))</f>
        <v/>
      </c>
      <c r="F73" s="43" t="str">
        <f t="shared" si="16"/>
        <v/>
      </c>
      <c r="G73" s="43" t="str">
        <f>IF(A73="","",(G72-G72*'入力 Inputs'!$B$41-'入力 Inputs'!$B$57*(1+'入力 Inputs'!$B$91)^(69-1))*(1+'入力 Inputs'!$B$84))</f>
        <v/>
      </c>
      <c r="H73" s="43" t="str" cm="1">
        <f t="array" ref="H73">IF(A73="","",IF(A73&lt;=10,G73*(1-INDEX('入力 Inputs'!$B$71:$B$80,A73)),G73))</f>
        <v/>
      </c>
      <c r="I73" s="43" t="str">
        <f t="shared" si="17"/>
        <v/>
      </c>
      <c r="J73" s="43" t="str">
        <f>IF(A73="","",(J72-J72*'入力 Inputs'!$B$41-'入力 Inputs'!$B$57*(1+'入力 Inputs'!$B$91)^(69-1))*(1+'入力 Inputs'!$B$85))</f>
        <v/>
      </c>
      <c r="K73" s="43" t="str" cm="1">
        <f t="array" ref="K73">IF(A73="","",IF(A73&lt;=10,J73*(1-INDEX('入力 Inputs'!$B$71:$B$80,A73)),J73))</f>
        <v/>
      </c>
      <c r="L73" s="43" t="str">
        <f t="shared" si="18"/>
        <v/>
      </c>
      <c r="M73" s="170" t="str">
        <f>IF(A73="","",D73*'入力 Inputs'!$B$64)</f>
        <v/>
      </c>
      <c r="N73" t="str">
        <f t="shared" si="19"/>
        <v/>
      </c>
      <c r="O73" t="str">
        <f t="shared" si="20"/>
        <v/>
      </c>
      <c r="P73" t="str">
        <f t="shared" si="21"/>
        <v/>
      </c>
      <c r="Q73" t="str">
        <f t="shared" si="22"/>
        <v/>
      </c>
    </row>
    <row r="74" spans="1:17" x14ac:dyDescent="0.25">
      <c r="A74" s="186" t="str">
        <f>IF(70&lt;='入力 Inputs'!$B$86,70,"")</f>
        <v/>
      </c>
      <c r="B74" s="187" t="str">
        <f>IF(A74="","",'入力 Inputs'!$B$55+A74)</f>
        <v/>
      </c>
      <c r="C74" s="43" t="str">
        <f t="shared" si="23"/>
        <v/>
      </c>
      <c r="D74" s="43" t="str">
        <f>IF(A74="","",(D73-D73*'入力 Inputs'!$B$41-'入力 Inputs'!$B$57*(1+'入力 Inputs'!$B$91)^(70-1))*(1+'入力 Inputs'!$B$83))</f>
        <v/>
      </c>
      <c r="E74" s="43" t="str" cm="1">
        <f t="array" ref="E74">IF(A74="","",IF(A74&lt;=10,D74*(1-INDEX('入力 Inputs'!$B$71:$B$80,A74)),D74))</f>
        <v/>
      </c>
      <c r="F74" s="43" t="str">
        <f t="shared" si="16"/>
        <v/>
      </c>
      <c r="G74" s="43" t="str">
        <f>IF(A74="","",(G73-G73*'入力 Inputs'!$B$41-'入力 Inputs'!$B$57*(1+'入力 Inputs'!$B$91)^(70-1))*(1+'入力 Inputs'!$B$84))</f>
        <v/>
      </c>
      <c r="H74" s="43" t="str" cm="1">
        <f t="array" ref="H74">IF(A74="","",IF(A74&lt;=10,G74*(1-INDEX('入力 Inputs'!$B$71:$B$80,A74)),G74))</f>
        <v/>
      </c>
      <c r="I74" s="43" t="str">
        <f t="shared" si="17"/>
        <v/>
      </c>
      <c r="J74" s="43" t="str">
        <f>IF(A74="","",(J73-J73*'入力 Inputs'!$B$41-'入力 Inputs'!$B$57*(1+'入力 Inputs'!$B$91)^(70-1))*(1+'入力 Inputs'!$B$85))</f>
        <v/>
      </c>
      <c r="K74" s="43" t="str" cm="1">
        <f t="array" ref="K74">IF(A74="","",IF(A74&lt;=10,J74*(1-INDEX('入力 Inputs'!$B$71:$B$80,A74)),J74))</f>
        <v/>
      </c>
      <c r="L74" s="43" t="str">
        <f t="shared" si="18"/>
        <v/>
      </c>
      <c r="M74" s="170" t="str">
        <f>IF(A74="","",D74*'入力 Inputs'!$B$64)</f>
        <v/>
      </c>
      <c r="N74" t="str">
        <f t="shared" si="19"/>
        <v/>
      </c>
      <c r="O74" t="str">
        <f t="shared" si="20"/>
        <v/>
      </c>
      <c r="P74" t="str">
        <f t="shared" si="21"/>
        <v/>
      </c>
      <c r="Q74" t="str">
        <f t="shared" si="22"/>
        <v/>
      </c>
    </row>
    <row r="75" spans="1:17" x14ac:dyDescent="0.25">
      <c r="A75" s="186" t="str">
        <f>IF(71&lt;='入力 Inputs'!$B$86,71,"")</f>
        <v/>
      </c>
      <c r="B75" s="187" t="str">
        <f>IF(A75="","",'入力 Inputs'!$B$55+A75)</f>
        <v/>
      </c>
      <c r="C75" s="43" t="str">
        <f t="shared" si="23"/>
        <v/>
      </c>
      <c r="D75" s="43" t="str">
        <f>IF(A75="","",(D74-D74*'入力 Inputs'!$B$41-'入力 Inputs'!$B$57*(1+'入力 Inputs'!$B$91)^(71-1))*(1+'入力 Inputs'!$B$83))</f>
        <v/>
      </c>
      <c r="E75" s="43" t="str" cm="1">
        <f t="array" ref="E75">IF(A75="","",IF(A75&lt;=10,D75*(1-INDEX('入力 Inputs'!$B$71:$B$80,A75)),D75))</f>
        <v/>
      </c>
      <c r="F75" s="43" t="str">
        <f t="shared" si="16"/>
        <v/>
      </c>
      <c r="G75" s="43" t="str">
        <f>IF(A75="","",(G74-G74*'入力 Inputs'!$B$41-'入力 Inputs'!$B$57*(1+'入力 Inputs'!$B$91)^(71-1))*(1+'入力 Inputs'!$B$84))</f>
        <v/>
      </c>
      <c r="H75" s="43" t="str" cm="1">
        <f t="array" ref="H75">IF(A75="","",IF(A75&lt;=10,G75*(1-INDEX('入力 Inputs'!$B$71:$B$80,A75)),G75))</f>
        <v/>
      </c>
      <c r="I75" s="43" t="str">
        <f t="shared" si="17"/>
        <v/>
      </c>
      <c r="J75" s="43" t="str">
        <f>IF(A75="","",(J74-J74*'入力 Inputs'!$B$41-'入力 Inputs'!$B$57*(1+'入力 Inputs'!$B$91)^(71-1))*(1+'入力 Inputs'!$B$85))</f>
        <v/>
      </c>
      <c r="K75" s="43" t="str" cm="1">
        <f t="array" ref="K75">IF(A75="","",IF(A75&lt;=10,J75*(1-INDEX('入力 Inputs'!$B$71:$B$80,A75)),J75))</f>
        <v/>
      </c>
      <c r="L75" s="43" t="str">
        <f t="shared" si="18"/>
        <v/>
      </c>
      <c r="M75" s="170" t="str">
        <f>IF(A75="","",D75*'入力 Inputs'!$B$64)</f>
        <v/>
      </c>
      <c r="N75" t="str">
        <f t="shared" si="19"/>
        <v/>
      </c>
      <c r="O75" t="str">
        <f t="shared" si="20"/>
        <v/>
      </c>
      <c r="P75" t="str">
        <f t="shared" si="21"/>
        <v/>
      </c>
      <c r="Q75" t="str">
        <f t="shared" si="22"/>
        <v/>
      </c>
    </row>
    <row r="76" spans="1:17" x14ac:dyDescent="0.25">
      <c r="A76" s="186" t="str">
        <f>IF(72&lt;='入力 Inputs'!$B$86,72,"")</f>
        <v/>
      </c>
      <c r="B76" s="187" t="str">
        <f>IF(A76="","",'入力 Inputs'!$B$55+A76)</f>
        <v/>
      </c>
      <c r="C76" s="43" t="str">
        <f t="shared" si="23"/>
        <v/>
      </c>
      <c r="D76" s="43" t="str">
        <f>IF(A76="","",(D75-D75*'入力 Inputs'!$B$41-'入力 Inputs'!$B$57*(1+'入力 Inputs'!$B$91)^(72-1))*(1+'入力 Inputs'!$B$83))</f>
        <v/>
      </c>
      <c r="E76" s="43" t="str" cm="1">
        <f t="array" ref="E76">IF(A76="","",IF(A76&lt;=10,D76*(1-INDEX('入力 Inputs'!$B$71:$B$80,A76)),D76))</f>
        <v/>
      </c>
      <c r="F76" s="43" t="str">
        <f t="shared" si="16"/>
        <v/>
      </c>
      <c r="G76" s="43" t="str">
        <f>IF(A76="","",(G75-G75*'入力 Inputs'!$B$41-'入力 Inputs'!$B$57*(1+'入力 Inputs'!$B$91)^(72-1))*(1+'入力 Inputs'!$B$84))</f>
        <v/>
      </c>
      <c r="H76" s="43" t="str" cm="1">
        <f t="array" ref="H76">IF(A76="","",IF(A76&lt;=10,G76*(1-INDEX('入力 Inputs'!$B$71:$B$80,A76)),G76))</f>
        <v/>
      </c>
      <c r="I76" s="43" t="str">
        <f t="shared" si="17"/>
        <v/>
      </c>
      <c r="J76" s="43" t="str">
        <f>IF(A76="","",(J75-J75*'入力 Inputs'!$B$41-'入力 Inputs'!$B$57*(1+'入力 Inputs'!$B$91)^(72-1))*(1+'入力 Inputs'!$B$85))</f>
        <v/>
      </c>
      <c r="K76" s="43" t="str" cm="1">
        <f t="array" ref="K76">IF(A76="","",IF(A76&lt;=10,J76*(1-INDEX('入力 Inputs'!$B$71:$B$80,A76)),J76))</f>
        <v/>
      </c>
      <c r="L76" s="43" t="str">
        <f t="shared" si="18"/>
        <v/>
      </c>
      <c r="M76" s="170" t="str">
        <f>IF(A76="","",D76*'入力 Inputs'!$B$64)</f>
        <v/>
      </c>
      <c r="N76" t="str">
        <f t="shared" si="19"/>
        <v/>
      </c>
      <c r="O76" t="str">
        <f t="shared" si="20"/>
        <v/>
      </c>
      <c r="P76" t="str">
        <f t="shared" si="21"/>
        <v/>
      </c>
      <c r="Q76" t="str">
        <f t="shared" si="22"/>
        <v/>
      </c>
    </row>
    <row r="77" spans="1:17" x14ac:dyDescent="0.25">
      <c r="A77" s="186" t="str">
        <f>IF(73&lt;='入力 Inputs'!$B$86,73,"")</f>
        <v/>
      </c>
      <c r="B77" s="187" t="str">
        <f>IF(A77="","",'入力 Inputs'!$B$55+A77)</f>
        <v/>
      </c>
      <c r="C77" s="43" t="str">
        <f t="shared" si="23"/>
        <v/>
      </c>
      <c r="D77" s="43" t="str">
        <f>IF(A77="","",(D76-D76*'入力 Inputs'!$B$41-'入力 Inputs'!$B$57*(1+'入力 Inputs'!$B$91)^(73-1))*(1+'入力 Inputs'!$B$83))</f>
        <v/>
      </c>
      <c r="E77" s="43" t="str" cm="1">
        <f t="array" ref="E77">IF(A77="","",IF(A77&lt;=10,D77*(1-INDEX('入力 Inputs'!$B$71:$B$80,A77)),D77))</f>
        <v/>
      </c>
      <c r="F77" s="43" t="str">
        <f t="shared" si="16"/>
        <v/>
      </c>
      <c r="G77" s="43" t="str">
        <f>IF(A77="","",(G76-G76*'入力 Inputs'!$B$41-'入力 Inputs'!$B$57*(1+'入力 Inputs'!$B$91)^(73-1))*(1+'入力 Inputs'!$B$84))</f>
        <v/>
      </c>
      <c r="H77" s="43" t="str" cm="1">
        <f t="array" ref="H77">IF(A77="","",IF(A77&lt;=10,G77*(1-INDEX('入力 Inputs'!$B$71:$B$80,A77)),G77))</f>
        <v/>
      </c>
      <c r="I77" s="43" t="str">
        <f t="shared" si="17"/>
        <v/>
      </c>
      <c r="J77" s="43" t="str">
        <f>IF(A77="","",(J76-J76*'入力 Inputs'!$B$41-'入力 Inputs'!$B$57*(1+'入力 Inputs'!$B$91)^(73-1))*(1+'入力 Inputs'!$B$85))</f>
        <v/>
      </c>
      <c r="K77" s="43" t="str" cm="1">
        <f t="array" ref="K77">IF(A77="","",IF(A77&lt;=10,J77*(1-INDEX('入力 Inputs'!$B$71:$B$80,A77)),J77))</f>
        <v/>
      </c>
      <c r="L77" s="43" t="str">
        <f t="shared" si="18"/>
        <v/>
      </c>
      <c r="M77" s="170" t="str">
        <f>IF(A77="","",D77*'入力 Inputs'!$B$64)</f>
        <v/>
      </c>
      <c r="N77" t="str">
        <f t="shared" si="19"/>
        <v/>
      </c>
      <c r="O77" t="str">
        <f t="shared" si="20"/>
        <v/>
      </c>
      <c r="P77" t="str">
        <f t="shared" si="21"/>
        <v/>
      </c>
      <c r="Q77" t="str">
        <f t="shared" si="22"/>
        <v/>
      </c>
    </row>
    <row r="78" spans="1:17" x14ac:dyDescent="0.25">
      <c r="A78" s="186" t="str">
        <f>IF(74&lt;='入力 Inputs'!$B$86,74,"")</f>
        <v/>
      </c>
      <c r="B78" s="187" t="str">
        <f>IF(A78="","",'入力 Inputs'!$B$55+A78)</f>
        <v/>
      </c>
      <c r="C78" s="43" t="str">
        <f t="shared" si="23"/>
        <v/>
      </c>
      <c r="D78" s="43" t="str">
        <f>IF(A78="","",(D77-D77*'入力 Inputs'!$B$41-'入力 Inputs'!$B$57*(1+'入力 Inputs'!$B$91)^(74-1))*(1+'入力 Inputs'!$B$83))</f>
        <v/>
      </c>
      <c r="E78" s="43" t="str" cm="1">
        <f t="array" ref="E78">IF(A78="","",IF(A78&lt;=10,D78*(1-INDEX('入力 Inputs'!$B$71:$B$80,A78)),D78))</f>
        <v/>
      </c>
      <c r="F78" s="43" t="str">
        <f t="shared" si="16"/>
        <v/>
      </c>
      <c r="G78" s="43" t="str">
        <f>IF(A78="","",(G77-G77*'入力 Inputs'!$B$41-'入力 Inputs'!$B$57*(1+'入力 Inputs'!$B$91)^(74-1))*(1+'入力 Inputs'!$B$84))</f>
        <v/>
      </c>
      <c r="H78" s="43" t="str" cm="1">
        <f t="array" ref="H78">IF(A78="","",IF(A78&lt;=10,G78*(1-INDEX('入力 Inputs'!$B$71:$B$80,A78)),G78))</f>
        <v/>
      </c>
      <c r="I78" s="43" t="str">
        <f t="shared" si="17"/>
        <v/>
      </c>
      <c r="J78" s="43" t="str">
        <f>IF(A78="","",(J77-J77*'入力 Inputs'!$B$41-'入力 Inputs'!$B$57*(1+'入力 Inputs'!$B$91)^(74-1))*(1+'入力 Inputs'!$B$85))</f>
        <v/>
      </c>
      <c r="K78" s="43" t="str" cm="1">
        <f t="array" ref="K78">IF(A78="","",IF(A78&lt;=10,J78*(1-INDEX('入力 Inputs'!$B$71:$B$80,A78)),J78))</f>
        <v/>
      </c>
      <c r="L78" s="43" t="str">
        <f t="shared" si="18"/>
        <v/>
      </c>
      <c r="M78" s="170" t="str">
        <f>IF(A78="","",D78*'入力 Inputs'!$B$64)</f>
        <v/>
      </c>
      <c r="N78" t="str">
        <f t="shared" si="19"/>
        <v/>
      </c>
      <c r="O78" t="str">
        <f t="shared" si="20"/>
        <v/>
      </c>
      <c r="P78" t="str">
        <f t="shared" si="21"/>
        <v/>
      </c>
      <c r="Q78" t="str">
        <f t="shared" si="22"/>
        <v/>
      </c>
    </row>
    <row r="79" spans="1:17" x14ac:dyDescent="0.25">
      <c r="A79" s="186" t="str">
        <f>IF(75&lt;='入力 Inputs'!$B$86,75,"")</f>
        <v/>
      </c>
      <c r="B79" s="187" t="str">
        <f>IF(A79="","",'入力 Inputs'!$B$55+A79)</f>
        <v/>
      </c>
      <c r="C79" s="43" t="str">
        <f t="shared" si="23"/>
        <v/>
      </c>
      <c r="D79" s="43" t="str">
        <f>IF(A79="","",(D78-D78*'入力 Inputs'!$B$41-'入力 Inputs'!$B$57*(1+'入力 Inputs'!$B$91)^(75-1))*(1+'入力 Inputs'!$B$83))</f>
        <v/>
      </c>
      <c r="E79" s="43" t="str" cm="1">
        <f t="array" ref="E79">IF(A79="","",IF(A79&lt;=10,D79*(1-INDEX('入力 Inputs'!$B$71:$B$80,A79)),D79))</f>
        <v/>
      </c>
      <c r="F79" s="43" t="str">
        <f t="shared" si="16"/>
        <v/>
      </c>
      <c r="G79" s="43" t="str">
        <f>IF(A79="","",(G78-G78*'入力 Inputs'!$B$41-'入力 Inputs'!$B$57*(1+'入力 Inputs'!$B$91)^(75-1))*(1+'入力 Inputs'!$B$84))</f>
        <v/>
      </c>
      <c r="H79" s="43" t="str" cm="1">
        <f t="array" ref="H79">IF(A79="","",IF(A79&lt;=10,G79*(1-INDEX('入力 Inputs'!$B$71:$B$80,A79)),G79))</f>
        <v/>
      </c>
      <c r="I79" s="43" t="str">
        <f t="shared" si="17"/>
        <v/>
      </c>
      <c r="J79" s="43" t="str">
        <f>IF(A79="","",(J78-J78*'入力 Inputs'!$B$41-'入力 Inputs'!$B$57*(1+'入力 Inputs'!$B$91)^(75-1))*(1+'入力 Inputs'!$B$85))</f>
        <v/>
      </c>
      <c r="K79" s="43" t="str" cm="1">
        <f t="array" ref="K79">IF(A79="","",IF(A79&lt;=10,J79*(1-INDEX('入力 Inputs'!$B$71:$B$80,A79)),J79))</f>
        <v/>
      </c>
      <c r="L79" s="43" t="str">
        <f t="shared" si="18"/>
        <v/>
      </c>
      <c r="M79" s="170" t="str">
        <f>IF(A79="","",D79*'入力 Inputs'!$B$64)</f>
        <v/>
      </c>
      <c r="N79" t="str">
        <f t="shared" si="19"/>
        <v/>
      </c>
      <c r="O79" t="str">
        <f t="shared" si="20"/>
        <v/>
      </c>
      <c r="P79" t="str">
        <f t="shared" si="21"/>
        <v/>
      </c>
      <c r="Q79" t="str">
        <f t="shared" si="22"/>
        <v/>
      </c>
    </row>
    <row r="80" spans="1:17" x14ac:dyDescent="0.25">
      <c r="A80" s="186" t="str">
        <f>IF(76&lt;='入力 Inputs'!$B$86,76,"")</f>
        <v/>
      </c>
      <c r="B80" s="187" t="str">
        <f>IF(A80="","",'入力 Inputs'!$B$55+A80)</f>
        <v/>
      </c>
      <c r="C80" s="43" t="str">
        <f t="shared" si="23"/>
        <v/>
      </c>
      <c r="D80" s="43" t="str">
        <f>IF(A80="","",(D79-D79*'入力 Inputs'!$B$41-'入力 Inputs'!$B$57*(1+'入力 Inputs'!$B$91)^(76-1))*(1+'入力 Inputs'!$B$83))</f>
        <v/>
      </c>
      <c r="E80" s="43" t="str" cm="1">
        <f t="array" ref="E80">IF(A80="","",IF(A80&lt;=10,D80*(1-INDEX('入力 Inputs'!$B$71:$B$80,A80)),D80))</f>
        <v/>
      </c>
      <c r="F80" s="43" t="str">
        <f t="shared" si="16"/>
        <v/>
      </c>
      <c r="G80" s="43" t="str">
        <f>IF(A80="","",(G79-G79*'入力 Inputs'!$B$41-'入力 Inputs'!$B$57*(1+'入力 Inputs'!$B$91)^(76-1))*(1+'入力 Inputs'!$B$84))</f>
        <v/>
      </c>
      <c r="H80" s="43" t="str" cm="1">
        <f t="array" ref="H80">IF(A80="","",IF(A80&lt;=10,G80*(1-INDEX('入力 Inputs'!$B$71:$B$80,A80)),G80))</f>
        <v/>
      </c>
      <c r="I80" s="43" t="str">
        <f t="shared" si="17"/>
        <v/>
      </c>
      <c r="J80" s="43" t="str">
        <f>IF(A80="","",(J79-J79*'入力 Inputs'!$B$41-'入力 Inputs'!$B$57*(1+'入力 Inputs'!$B$91)^(76-1))*(1+'入力 Inputs'!$B$85))</f>
        <v/>
      </c>
      <c r="K80" s="43" t="str" cm="1">
        <f t="array" ref="K80">IF(A80="","",IF(A80&lt;=10,J80*(1-INDEX('入力 Inputs'!$B$71:$B$80,A80)),J80))</f>
        <v/>
      </c>
      <c r="L80" s="43" t="str">
        <f t="shared" si="18"/>
        <v/>
      </c>
      <c r="M80" s="170" t="str">
        <f>IF(A80="","",D80*'入力 Inputs'!$B$64)</f>
        <v/>
      </c>
      <c r="N80" t="str">
        <f t="shared" si="19"/>
        <v/>
      </c>
      <c r="O80" t="str">
        <f t="shared" si="20"/>
        <v/>
      </c>
      <c r="P80" t="str">
        <f t="shared" si="21"/>
        <v/>
      </c>
      <c r="Q80" t="str">
        <f t="shared" si="22"/>
        <v/>
      </c>
    </row>
    <row r="81" spans="1:17" x14ac:dyDescent="0.25">
      <c r="A81" s="186" t="str">
        <f>IF(77&lt;='入力 Inputs'!$B$86,77,"")</f>
        <v/>
      </c>
      <c r="B81" s="187" t="str">
        <f>IF(A81="","",'入力 Inputs'!$B$55+A81)</f>
        <v/>
      </c>
      <c r="C81" s="43" t="str">
        <f t="shared" si="23"/>
        <v/>
      </c>
      <c r="D81" s="43" t="str">
        <f>IF(A81="","",(D80-D80*'入力 Inputs'!$B$41-'入力 Inputs'!$B$57*(1+'入力 Inputs'!$B$91)^(77-1))*(1+'入力 Inputs'!$B$83))</f>
        <v/>
      </c>
      <c r="E81" s="43" t="str" cm="1">
        <f t="array" ref="E81">IF(A81="","",IF(A81&lt;=10,D81*(1-INDEX('入力 Inputs'!$B$71:$B$80,A81)),D81))</f>
        <v/>
      </c>
      <c r="F81" s="43" t="str">
        <f t="shared" si="16"/>
        <v/>
      </c>
      <c r="G81" s="43" t="str">
        <f>IF(A81="","",(G80-G80*'入力 Inputs'!$B$41-'入力 Inputs'!$B$57*(1+'入力 Inputs'!$B$91)^(77-1))*(1+'入力 Inputs'!$B$84))</f>
        <v/>
      </c>
      <c r="H81" s="43" t="str" cm="1">
        <f t="array" ref="H81">IF(A81="","",IF(A81&lt;=10,G81*(1-INDEX('入力 Inputs'!$B$71:$B$80,A81)),G81))</f>
        <v/>
      </c>
      <c r="I81" s="43" t="str">
        <f t="shared" si="17"/>
        <v/>
      </c>
      <c r="J81" s="43" t="str">
        <f>IF(A81="","",(J80-J80*'入力 Inputs'!$B$41-'入力 Inputs'!$B$57*(1+'入力 Inputs'!$B$91)^(77-1))*(1+'入力 Inputs'!$B$85))</f>
        <v/>
      </c>
      <c r="K81" s="43" t="str" cm="1">
        <f t="array" ref="K81">IF(A81="","",IF(A81&lt;=10,J81*(1-INDEX('入力 Inputs'!$B$71:$B$80,A81)),J81))</f>
        <v/>
      </c>
      <c r="L81" s="43" t="str">
        <f t="shared" si="18"/>
        <v/>
      </c>
      <c r="M81" s="170" t="str">
        <f>IF(A81="","",D81*'入力 Inputs'!$B$64)</f>
        <v/>
      </c>
      <c r="N81" t="str">
        <f t="shared" si="19"/>
        <v/>
      </c>
      <c r="O81" t="str">
        <f t="shared" si="20"/>
        <v/>
      </c>
      <c r="P81" t="str">
        <f t="shared" si="21"/>
        <v/>
      </c>
      <c r="Q81" t="str">
        <f t="shared" si="22"/>
        <v/>
      </c>
    </row>
    <row r="82" spans="1:17" x14ac:dyDescent="0.25">
      <c r="A82" s="186" t="str">
        <f>IF(78&lt;='入力 Inputs'!$B$86,78,"")</f>
        <v/>
      </c>
      <c r="B82" s="187" t="str">
        <f>IF(A82="","",'入力 Inputs'!$B$55+A82)</f>
        <v/>
      </c>
      <c r="C82" s="43" t="str">
        <f t="shared" si="23"/>
        <v/>
      </c>
      <c r="D82" s="43" t="str">
        <f>IF(A82="","",(D81-D81*'入力 Inputs'!$B$41-'入力 Inputs'!$B$57*(1+'入力 Inputs'!$B$91)^(78-1))*(1+'入力 Inputs'!$B$83))</f>
        <v/>
      </c>
      <c r="E82" s="43" t="str" cm="1">
        <f t="array" ref="E82">IF(A82="","",IF(A82&lt;=10,D82*(1-INDEX('入力 Inputs'!$B$71:$B$80,A82)),D82))</f>
        <v/>
      </c>
      <c r="F82" s="43" t="str">
        <f t="shared" si="16"/>
        <v/>
      </c>
      <c r="G82" s="43" t="str">
        <f>IF(A82="","",(G81-G81*'入力 Inputs'!$B$41-'入力 Inputs'!$B$57*(1+'入力 Inputs'!$B$91)^(78-1))*(1+'入力 Inputs'!$B$84))</f>
        <v/>
      </c>
      <c r="H82" s="43" t="str" cm="1">
        <f t="array" ref="H82">IF(A82="","",IF(A82&lt;=10,G82*(1-INDEX('入力 Inputs'!$B$71:$B$80,A82)),G82))</f>
        <v/>
      </c>
      <c r="I82" s="43" t="str">
        <f t="shared" si="17"/>
        <v/>
      </c>
      <c r="J82" s="43" t="str">
        <f>IF(A82="","",(J81-J81*'入力 Inputs'!$B$41-'入力 Inputs'!$B$57*(1+'入力 Inputs'!$B$91)^(78-1))*(1+'入力 Inputs'!$B$85))</f>
        <v/>
      </c>
      <c r="K82" s="43" t="str" cm="1">
        <f t="array" ref="K82">IF(A82="","",IF(A82&lt;=10,J82*(1-INDEX('入力 Inputs'!$B$71:$B$80,A82)),J82))</f>
        <v/>
      </c>
      <c r="L82" s="43" t="str">
        <f t="shared" si="18"/>
        <v/>
      </c>
      <c r="M82" s="170" t="str">
        <f>IF(A82="","",D82*'入力 Inputs'!$B$64)</f>
        <v/>
      </c>
      <c r="N82" t="str">
        <f t="shared" si="19"/>
        <v/>
      </c>
      <c r="O82" t="str">
        <f t="shared" si="20"/>
        <v/>
      </c>
      <c r="P82" t="str">
        <f t="shared" si="21"/>
        <v/>
      </c>
      <c r="Q82" t="str">
        <f t="shared" si="22"/>
        <v/>
      </c>
    </row>
    <row r="83" spans="1:17" x14ac:dyDescent="0.25">
      <c r="A83" s="186" t="str">
        <f>IF(79&lt;='入力 Inputs'!$B$86,79,"")</f>
        <v/>
      </c>
      <c r="B83" s="187" t="str">
        <f>IF(A83="","",'入力 Inputs'!$B$55+A83)</f>
        <v/>
      </c>
      <c r="C83" s="43" t="str">
        <f t="shared" si="23"/>
        <v/>
      </c>
      <c r="D83" s="43" t="str">
        <f>IF(A83="","",(D82-D82*'入力 Inputs'!$B$41-'入力 Inputs'!$B$57*(1+'入力 Inputs'!$B$91)^(79-1))*(1+'入力 Inputs'!$B$83))</f>
        <v/>
      </c>
      <c r="E83" s="43" t="str" cm="1">
        <f t="array" ref="E83">IF(A83="","",IF(A83&lt;=10,D83*(1-INDEX('入力 Inputs'!$B$71:$B$80,A83)),D83))</f>
        <v/>
      </c>
      <c r="F83" s="43" t="str">
        <f t="shared" si="16"/>
        <v/>
      </c>
      <c r="G83" s="43" t="str">
        <f>IF(A83="","",(G82-G82*'入力 Inputs'!$B$41-'入力 Inputs'!$B$57*(1+'入力 Inputs'!$B$91)^(79-1))*(1+'入力 Inputs'!$B$84))</f>
        <v/>
      </c>
      <c r="H83" s="43" t="str" cm="1">
        <f t="array" ref="H83">IF(A83="","",IF(A83&lt;=10,G83*(1-INDEX('入力 Inputs'!$B$71:$B$80,A83)),G83))</f>
        <v/>
      </c>
      <c r="I83" s="43" t="str">
        <f t="shared" si="17"/>
        <v/>
      </c>
      <c r="J83" s="43" t="str">
        <f>IF(A83="","",(J82-J82*'入力 Inputs'!$B$41-'入力 Inputs'!$B$57*(1+'入力 Inputs'!$B$91)^(79-1))*(1+'入力 Inputs'!$B$85))</f>
        <v/>
      </c>
      <c r="K83" s="43" t="str" cm="1">
        <f t="array" ref="K83">IF(A83="","",IF(A83&lt;=10,J83*(1-INDEX('入力 Inputs'!$B$71:$B$80,A83)),J83))</f>
        <v/>
      </c>
      <c r="L83" s="43" t="str">
        <f t="shared" si="18"/>
        <v/>
      </c>
      <c r="M83" s="170" t="str">
        <f>IF(A83="","",D83*'入力 Inputs'!$B$64)</f>
        <v/>
      </c>
      <c r="N83" t="str">
        <f t="shared" si="19"/>
        <v/>
      </c>
      <c r="O83" t="str">
        <f t="shared" si="20"/>
        <v/>
      </c>
      <c r="P83" t="str">
        <f t="shared" si="21"/>
        <v/>
      </c>
      <c r="Q83" t="str">
        <f t="shared" si="22"/>
        <v/>
      </c>
    </row>
    <row r="84" spans="1:17" x14ac:dyDescent="0.25">
      <c r="A84" s="186" t="str">
        <f>IF(80&lt;='入力 Inputs'!$B$86,80,"")</f>
        <v/>
      </c>
      <c r="B84" s="187" t="str">
        <f>IF(A84="","",'入力 Inputs'!$B$55+A84)</f>
        <v/>
      </c>
      <c r="C84" s="43" t="str">
        <f t="shared" si="23"/>
        <v/>
      </c>
      <c r="D84" s="43" t="str">
        <f>IF(A84="","",(D83-D83*'入力 Inputs'!$B$41-'入力 Inputs'!$B$57*(1+'入力 Inputs'!$B$91)^(80-1))*(1+'入力 Inputs'!$B$83))</f>
        <v/>
      </c>
      <c r="E84" s="43" t="str" cm="1">
        <f t="array" ref="E84">IF(A84="","",IF(A84&lt;=10,D84*(1-INDEX('入力 Inputs'!$B$71:$B$80,A84)),D84))</f>
        <v/>
      </c>
      <c r="F84" s="43" t="str">
        <f t="shared" si="16"/>
        <v/>
      </c>
      <c r="G84" s="43" t="str">
        <f>IF(A84="","",(G83-G83*'入力 Inputs'!$B$41-'入力 Inputs'!$B$57*(1+'入力 Inputs'!$B$91)^(80-1))*(1+'入力 Inputs'!$B$84))</f>
        <v/>
      </c>
      <c r="H84" s="43" t="str" cm="1">
        <f t="array" ref="H84">IF(A84="","",IF(A84&lt;=10,G84*(1-INDEX('入力 Inputs'!$B$71:$B$80,A84)),G84))</f>
        <v/>
      </c>
      <c r="I84" s="43" t="str">
        <f t="shared" si="17"/>
        <v/>
      </c>
      <c r="J84" s="43" t="str">
        <f>IF(A84="","",(J83-J83*'入力 Inputs'!$B$41-'入力 Inputs'!$B$57*(1+'入力 Inputs'!$B$91)^(80-1))*(1+'入力 Inputs'!$B$85))</f>
        <v/>
      </c>
      <c r="K84" s="43" t="str" cm="1">
        <f t="array" ref="K84">IF(A84="","",IF(A84&lt;=10,J84*(1-INDEX('入力 Inputs'!$B$71:$B$80,A84)),J84))</f>
        <v/>
      </c>
      <c r="L84" s="43" t="str">
        <f t="shared" si="18"/>
        <v/>
      </c>
      <c r="M84" s="170" t="str">
        <f>IF(A84="","",D84*'入力 Inputs'!$B$64)</f>
        <v/>
      </c>
      <c r="N84" t="str">
        <f t="shared" si="19"/>
        <v/>
      </c>
      <c r="O84" t="str">
        <f t="shared" si="20"/>
        <v/>
      </c>
      <c r="P84" t="str">
        <f t="shared" si="21"/>
        <v/>
      </c>
      <c r="Q84" t="str">
        <f t="shared" si="22"/>
        <v/>
      </c>
    </row>
    <row r="85" spans="1:17" x14ac:dyDescent="0.25">
      <c r="A85" s="186" t="str">
        <f>IF(81&lt;='入力 Inputs'!$B$86,81,"")</f>
        <v/>
      </c>
      <c r="B85" s="187" t="str">
        <f>IF(A85="","",'入力 Inputs'!$B$55+A85)</f>
        <v/>
      </c>
      <c r="C85" s="43" t="str">
        <f t="shared" si="23"/>
        <v/>
      </c>
      <c r="D85" s="43" t="str">
        <f>IF(A85="","",(D84-D84*'入力 Inputs'!$B$41-'入力 Inputs'!$B$57*(1+'入力 Inputs'!$B$91)^(81-1))*(1+'入力 Inputs'!$B$83))</f>
        <v/>
      </c>
      <c r="E85" s="43" t="str" cm="1">
        <f t="array" ref="E85">IF(A85="","",IF(A85&lt;=10,D85*(1-INDEX('入力 Inputs'!$B$71:$B$80,A85)),D85))</f>
        <v/>
      </c>
      <c r="F85" s="43" t="str">
        <f t="shared" si="16"/>
        <v/>
      </c>
      <c r="G85" s="43" t="str">
        <f>IF(A85="","",(G84-G84*'入力 Inputs'!$B$41-'入力 Inputs'!$B$57*(1+'入力 Inputs'!$B$91)^(81-1))*(1+'入力 Inputs'!$B$84))</f>
        <v/>
      </c>
      <c r="H85" s="43" t="str" cm="1">
        <f t="array" ref="H85">IF(A85="","",IF(A85&lt;=10,G85*(1-INDEX('入力 Inputs'!$B$71:$B$80,A85)),G85))</f>
        <v/>
      </c>
      <c r="I85" s="43" t="str">
        <f t="shared" si="17"/>
        <v/>
      </c>
      <c r="J85" s="43" t="str">
        <f>IF(A85="","",(J84-J84*'入力 Inputs'!$B$41-'入力 Inputs'!$B$57*(1+'入力 Inputs'!$B$91)^(81-1))*(1+'入力 Inputs'!$B$85))</f>
        <v/>
      </c>
      <c r="K85" s="43" t="str" cm="1">
        <f t="array" ref="K85">IF(A85="","",IF(A85&lt;=10,J85*(1-INDEX('入力 Inputs'!$B$71:$B$80,A85)),J85))</f>
        <v/>
      </c>
      <c r="L85" s="43" t="str">
        <f t="shared" si="18"/>
        <v/>
      </c>
      <c r="M85" s="170" t="str">
        <f>IF(A85="","",D85*'入力 Inputs'!$B$64)</f>
        <v/>
      </c>
      <c r="N85" t="str">
        <f t="shared" si="19"/>
        <v/>
      </c>
      <c r="O85" t="str">
        <f t="shared" si="20"/>
        <v/>
      </c>
      <c r="P85" t="str">
        <f t="shared" si="21"/>
        <v/>
      </c>
      <c r="Q85" t="str">
        <f t="shared" si="22"/>
        <v/>
      </c>
    </row>
    <row r="86" spans="1:17" x14ac:dyDescent="0.25">
      <c r="A86" s="186" t="str">
        <f>IF(82&lt;='入力 Inputs'!$B$86,82,"")</f>
        <v/>
      </c>
      <c r="B86" s="187" t="str">
        <f>IF(A86="","",'入力 Inputs'!$B$55+A86)</f>
        <v/>
      </c>
      <c r="C86" s="43" t="str">
        <f t="shared" si="23"/>
        <v/>
      </c>
      <c r="D86" s="43" t="str">
        <f>IF(A86="","",(D85-D85*'入力 Inputs'!$B$41-'入力 Inputs'!$B$57*(1+'入力 Inputs'!$B$91)^(82-1))*(1+'入力 Inputs'!$B$83))</f>
        <v/>
      </c>
      <c r="E86" s="43" t="str" cm="1">
        <f t="array" ref="E86">IF(A86="","",IF(A86&lt;=10,D86*(1-INDEX('入力 Inputs'!$B$71:$B$80,A86)),D86))</f>
        <v/>
      </c>
      <c r="F86" s="43" t="str">
        <f t="shared" si="16"/>
        <v/>
      </c>
      <c r="G86" s="43" t="str">
        <f>IF(A86="","",(G85-G85*'入力 Inputs'!$B$41-'入力 Inputs'!$B$57*(1+'入力 Inputs'!$B$91)^(82-1))*(1+'入力 Inputs'!$B$84))</f>
        <v/>
      </c>
      <c r="H86" s="43" t="str" cm="1">
        <f t="array" ref="H86">IF(A86="","",IF(A86&lt;=10,G86*(1-INDEX('入力 Inputs'!$B$71:$B$80,A86)),G86))</f>
        <v/>
      </c>
      <c r="I86" s="43" t="str">
        <f t="shared" si="17"/>
        <v/>
      </c>
      <c r="J86" s="43" t="str">
        <f>IF(A86="","",(J85-J85*'入力 Inputs'!$B$41-'入力 Inputs'!$B$57*(1+'入力 Inputs'!$B$91)^(82-1))*(1+'入力 Inputs'!$B$85))</f>
        <v/>
      </c>
      <c r="K86" s="43" t="str" cm="1">
        <f t="array" ref="K86">IF(A86="","",IF(A86&lt;=10,J86*(1-INDEX('入力 Inputs'!$B$71:$B$80,A86)),J86))</f>
        <v/>
      </c>
      <c r="L86" s="43" t="str">
        <f t="shared" si="18"/>
        <v/>
      </c>
      <c r="M86" s="170" t="str">
        <f>IF(A86="","",D86*'入力 Inputs'!$B$64)</f>
        <v/>
      </c>
      <c r="N86" t="str">
        <f t="shared" si="19"/>
        <v/>
      </c>
      <c r="O86" t="str">
        <f t="shared" si="20"/>
        <v/>
      </c>
      <c r="P86" t="str">
        <f t="shared" si="21"/>
        <v/>
      </c>
      <c r="Q86" t="str">
        <f t="shared" si="22"/>
        <v/>
      </c>
    </row>
    <row r="87" spans="1:17" x14ac:dyDescent="0.25">
      <c r="A87" s="186" t="str">
        <f>IF(83&lt;='入力 Inputs'!$B$86,83,"")</f>
        <v/>
      </c>
      <c r="B87" s="187" t="str">
        <f>IF(A87="","",'入力 Inputs'!$B$55+A87)</f>
        <v/>
      </c>
      <c r="C87" s="43" t="str">
        <f t="shared" si="23"/>
        <v/>
      </c>
      <c r="D87" s="43" t="str">
        <f>IF(A87="","",(D86-D86*'入力 Inputs'!$B$41-'入力 Inputs'!$B$57*(1+'入力 Inputs'!$B$91)^(83-1))*(1+'入力 Inputs'!$B$83))</f>
        <v/>
      </c>
      <c r="E87" s="43" t="str" cm="1">
        <f t="array" ref="E87">IF(A87="","",IF(A87&lt;=10,D87*(1-INDEX('入力 Inputs'!$B$71:$B$80,A87)),D87))</f>
        <v/>
      </c>
      <c r="F87" s="43" t="str">
        <f t="shared" si="16"/>
        <v/>
      </c>
      <c r="G87" s="43" t="str">
        <f>IF(A87="","",(G86-G86*'入力 Inputs'!$B$41-'入力 Inputs'!$B$57*(1+'入力 Inputs'!$B$91)^(83-1))*(1+'入力 Inputs'!$B$84))</f>
        <v/>
      </c>
      <c r="H87" s="43" t="str" cm="1">
        <f t="array" ref="H87">IF(A87="","",IF(A87&lt;=10,G87*(1-INDEX('入力 Inputs'!$B$71:$B$80,A87)),G87))</f>
        <v/>
      </c>
      <c r="I87" s="43" t="str">
        <f t="shared" si="17"/>
        <v/>
      </c>
      <c r="J87" s="43" t="str">
        <f>IF(A87="","",(J86-J86*'入力 Inputs'!$B$41-'入力 Inputs'!$B$57*(1+'入力 Inputs'!$B$91)^(83-1))*(1+'入力 Inputs'!$B$85))</f>
        <v/>
      </c>
      <c r="K87" s="43" t="str" cm="1">
        <f t="array" ref="K87">IF(A87="","",IF(A87&lt;=10,J87*(1-INDEX('入力 Inputs'!$B$71:$B$80,A87)),J87))</f>
        <v/>
      </c>
      <c r="L87" s="43" t="str">
        <f t="shared" si="18"/>
        <v/>
      </c>
      <c r="M87" s="170" t="str">
        <f>IF(A87="","",D87*'入力 Inputs'!$B$64)</f>
        <v/>
      </c>
      <c r="N87" t="str">
        <f t="shared" si="19"/>
        <v/>
      </c>
      <c r="O87" t="str">
        <f t="shared" si="20"/>
        <v/>
      </c>
      <c r="P87" t="str">
        <f t="shared" si="21"/>
        <v/>
      </c>
      <c r="Q87" t="str">
        <f t="shared" si="22"/>
        <v/>
      </c>
    </row>
    <row r="88" spans="1:17" x14ac:dyDescent="0.25">
      <c r="A88" s="186" t="str">
        <f>IF(84&lt;='入力 Inputs'!$B$86,84,"")</f>
        <v/>
      </c>
      <c r="B88" s="187" t="str">
        <f>IF(A88="","",'入力 Inputs'!$B$55+A88)</f>
        <v/>
      </c>
      <c r="C88" s="43" t="str">
        <f t="shared" si="23"/>
        <v/>
      </c>
      <c r="D88" s="43" t="str">
        <f>IF(A88="","",(D87-D87*'入力 Inputs'!$B$41-'入力 Inputs'!$B$57*(1+'入力 Inputs'!$B$91)^(84-1))*(1+'入力 Inputs'!$B$83))</f>
        <v/>
      </c>
      <c r="E88" s="43" t="str" cm="1">
        <f t="array" ref="E88">IF(A88="","",IF(A88&lt;=10,D88*(1-INDEX('入力 Inputs'!$B$71:$B$80,A88)),D88))</f>
        <v/>
      </c>
      <c r="F88" s="43" t="str">
        <f t="shared" si="16"/>
        <v/>
      </c>
      <c r="G88" s="43" t="str">
        <f>IF(A88="","",(G87-G87*'入力 Inputs'!$B$41-'入力 Inputs'!$B$57*(1+'入力 Inputs'!$B$91)^(84-1))*(1+'入力 Inputs'!$B$84))</f>
        <v/>
      </c>
      <c r="H88" s="43" t="str" cm="1">
        <f t="array" ref="H88">IF(A88="","",IF(A88&lt;=10,G88*(1-INDEX('入力 Inputs'!$B$71:$B$80,A88)),G88))</f>
        <v/>
      </c>
      <c r="I88" s="43" t="str">
        <f t="shared" si="17"/>
        <v/>
      </c>
      <c r="J88" s="43" t="str">
        <f>IF(A88="","",(J87-J87*'入力 Inputs'!$B$41-'入力 Inputs'!$B$57*(1+'入力 Inputs'!$B$91)^(84-1))*(1+'入力 Inputs'!$B$85))</f>
        <v/>
      </c>
      <c r="K88" s="43" t="str" cm="1">
        <f t="array" ref="K88">IF(A88="","",IF(A88&lt;=10,J88*(1-INDEX('入力 Inputs'!$B$71:$B$80,A88)),J88))</f>
        <v/>
      </c>
      <c r="L88" s="43" t="str">
        <f t="shared" si="18"/>
        <v/>
      </c>
      <c r="M88" s="170" t="str">
        <f>IF(A88="","",D88*'入力 Inputs'!$B$64)</f>
        <v/>
      </c>
      <c r="N88" t="str">
        <f t="shared" si="19"/>
        <v/>
      </c>
      <c r="O88" t="str">
        <f t="shared" si="20"/>
        <v/>
      </c>
      <c r="P88" t="str">
        <f t="shared" si="21"/>
        <v/>
      </c>
      <c r="Q88" t="str">
        <f t="shared" si="22"/>
        <v/>
      </c>
    </row>
    <row r="89" spans="1:17" x14ac:dyDescent="0.25">
      <c r="A89" s="186" t="str">
        <f>IF(85&lt;='入力 Inputs'!$B$86,85,"")</f>
        <v/>
      </c>
      <c r="B89" s="187" t="str">
        <f>IF(A89="","",'入力 Inputs'!$B$55+A89)</f>
        <v/>
      </c>
      <c r="C89" s="43" t="str">
        <f t="shared" si="23"/>
        <v/>
      </c>
      <c r="D89" s="43" t="str">
        <f>IF(A89="","",(D88-D88*'入力 Inputs'!$B$41-'入力 Inputs'!$B$57*(1+'入力 Inputs'!$B$91)^(85-1))*(1+'入力 Inputs'!$B$83))</f>
        <v/>
      </c>
      <c r="E89" s="43" t="str" cm="1">
        <f t="array" ref="E89">IF(A89="","",IF(A89&lt;=10,D89*(1-INDEX('入力 Inputs'!$B$71:$B$80,A89)),D89))</f>
        <v/>
      </c>
      <c r="F89" s="43" t="str">
        <f t="shared" si="16"/>
        <v/>
      </c>
      <c r="G89" s="43" t="str">
        <f>IF(A89="","",(G88-G88*'入力 Inputs'!$B$41-'入力 Inputs'!$B$57*(1+'入力 Inputs'!$B$91)^(85-1))*(1+'入力 Inputs'!$B$84))</f>
        <v/>
      </c>
      <c r="H89" s="43" t="str" cm="1">
        <f t="array" ref="H89">IF(A89="","",IF(A89&lt;=10,G89*(1-INDEX('入力 Inputs'!$B$71:$B$80,A89)),G89))</f>
        <v/>
      </c>
      <c r="I89" s="43" t="str">
        <f t="shared" si="17"/>
        <v/>
      </c>
      <c r="J89" s="43" t="str">
        <f>IF(A89="","",(J88-J88*'入力 Inputs'!$B$41-'入力 Inputs'!$B$57*(1+'入力 Inputs'!$B$91)^(85-1))*(1+'入力 Inputs'!$B$85))</f>
        <v/>
      </c>
      <c r="K89" s="43" t="str" cm="1">
        <f t="array" ref="K89">IF(A89="","",IF(A89&lt;=10,J89*(1-INDEX('入力 Inputs'!$B$71:$B$80,A89)),J89))</f>
        <v/>
      </c>
      <c r="L89" s="43" t="str">
        <f t="shared" si="18"/>
        <v/>
      </c>
      <c r="M89" s="170" t="str">
        <f>IF(A89="","",D89*'入力 Inputs'!$B$64)</f>
        <v/>
      </c>
      <c r="N89" t="str">
        <f t="shared" si="19"/>
        <v/>
      </c>
      <c r="O89" t="str">
        <f t="shared" si="20"/>
        <v/>
      </c>
      <c r="P89" t="str">
        <f t="shared" si="21"/>
        <v/>
      </c>
      <c r="Q89" t="str">
        <f t="shared" si="22"/>
        <v/>
      </c>
    </row>
    <row r="90" spans="1:17" x14ac:dyDescent="0.25">
      <c r="A90" s="186" t="str">
        <f>IF(86&lt;='入力 Inputs'!$B$86,86,"")</f>
        <v/>
      </c>
      <c r="B90" s="187" t="str">
        <f>IF(A90="","",'入力 Inputs'!$B$55+A90)</f>
        <v/>
      </c>
      <c r="C90" s="43" t="str">
        <f t="shared" si="23"/>
        <v/>
      </c>
      <c r="D90" s="43" t="str">
        <f>IF(A90="","",(D89-D89*'入力 Inputs'!$B$41-'入力 Inputs'!$B$57*(1+'入力 Inputs'!$B$91)^(86-1))*(1+'入力 Inputs'!$B$83))</f>
        <v/>
      </c>
      <c r="E90" s="43" t="str" cm="1">
        <f t="array" ref="E90">IF(A90="","",IF(A90&lt;=10,D90*(1-INDEX('入力 Inputs'!$B$71:$B$80,A90)),D90))</f>
        <v/>
      </c>
      <c r="F90" s="43" t="str">
        <f t="shared" si="16"/>
        <v/>
      </c>
      <c r="G90" s="43" t="str">
        <f>IF(A90="","",(G89-G89*'入力 Inputs'!$B$41-'入力 Inputs'!$B$57*(1+'入力 Inputs'!$B$91)^(86-1))*(1+'入力 Inputs'!$B$84))</f>
        <v/>
      </c>
      <c r="H90" s="43" t="str" cm="1">
        <f t="array" ref="H90">IF(A90="","",IF(A90&lt;=10,G90*(1-INDEX('入力 Inputs'!$B$71:$B$80,A90)),G90))</f>
        <v/>
      </c>
      <c r="I90" s="43" t="str">
        <f t="shared" si="17"/>
        <v/>
      </c>
      <c r="J90" s="43" t="str">
        <f>IF(A90="","",(J89-J89*'入力 Inputs'!$B$41-'入力 Inputs'!$B$57*(1+'入力 Inputs'!$B$91)^(86-1))*(1+'入力 Inputs'!$B$85))</f>
        <v/>
      </c>
      <c r="K90" s="43" t="str" cm="1">
        <f t="array" ref="K90">IF(A90="","",IF(A90&lt;=10,J90*(1-INDEX('入力 Inputs'!$B$71:$B$80,A90)),J90))</f>
        <v/>
      </c>
      <c r="L90" s="43" t="str">
        <f t="shared" si="18"/>
        <v/>
      </c>
      <c r="M90" s="170" t="str">
        <f>IF(A90="","",D90*'入力 Inputs'!$B$64)</f>
        <v/>
      </c>
      <c r="N90" t="str">
        <f t="shared" si="19"/>
        <v/>
      </c>
      <c r="O90" t="str">
        <f t="shared" si="20"/>
        <v/>
      </c>
      <c r="P90" t="str">
        <f t="shared" si="21"/>
        <v/>
      </c>
      <c r="Q90" t="str">
        <f t="shared" si="22"/>
        <v/>
      </c>
    </row>
    <row r="91" spans="1:17" x14ac:dyDescent="0.25">
      <c r="A91" s="186" t="str">
        <f>IF(87&lt;='入力 Inputs'!$B$86,87,"")</f>
        <v/>
      </c>
      <c r="B91" s="187" t="str">
        <f>IF(A91="","",'入力 Inputs'!$B$55+A91)</f>
        <v/>
      </c>
      <c r="C91" s="43" t="str">
        <f t="shared" si="23"/>
        <v/>
      </c>
      <c r="D91" s="43" t="str">
        <f>IF(A91="","",(D90-D90*'入力 Inputs'!$B$41-'入力 Inputs'!$B$57*(1+'入力 Inputs'!$B$91)^(87-1))*(1+'入力 Inputs'!$B$83))</f>
        <v/>
      </c>
      <c r="E91" s="43" t="str" cm="1">
        <f t="array" ref="E91">IF(A91="","",IF(A91&lt;=10,D91*(1-INDEX('入力 Inputs'!$B$71:$B$80,A91)),D91))</f>
        <v/>
      </c>
      <c r="F91" s="43" t="str">
        <f t="shared" si="16"/>
        <v/>
      </c>
      <c r="G91" s="43" t="str">
        <f>IF(A91="","",(G90-G90*'入力 Inputs'!$B$41-'入力 Inputs'!$B$57*(1+'入力 Inputs'!$B$91)^(87-1))*(1+'入力 Inputs'!$B$84))</f>
        <v/>
      </c>
      <c r="H91" s="43" t="str" cm="1">
        <f t="array" ref="H91">IF(A91="","",IF(A91&lt;=10,G91*(1-INDEX('入力 Inputs'!$B$71:$B$80,A91)),G91))</f>
        <v/>
      </c>
      <c r="I91" s="43" t="str">
        <f t="shared" si="17"/>
        <v/>
      </c>
      <c r="J91" s="43" t="str">
        <f>IF(A91="","",(J90-J90*'入力 Inputs'!$B$41-'入力 Inputs'!$B$57*(1+'入力 Inputs'!$B$91)^(87-1))*(1+'入力 Inputs'!$B$85))</f>
        <v/>
      </c>
      <c r="K91" s="43" t="str" cm="1">
        <f t="array" ref="K91">IF(A91="","",IF(A91&lt;=10,J91*(1-INDEX('入力 Inputs'!$B$71:$B$80,A91)),J91))</f>
        <v/>
      </c>
      <c r="L91" s="43" t="str">
        <f t="shared" si="18"/>
        <v/>
      </c>
      <c r="M91" s="170" t="str">
        <f>IF(A91="","",D91*'入力 Inputs'!$B$64)</f>
        <v/>
      </c>
      <c r="N91" t="str">
        <f t="shared" si="19"/>
        <v/>
      </c>
      <c r="O91" t="str">
        <f t="shared" si="20"/>
        <v/>
      </c>
      <c r="P91" t="str">
        <f t="shared" si="21"/>
        <v/>
      </c>
      <c r="Q91" t="str">
        <f t="shared" si="22"/>
        <v/>
      </c>
    </row>
    <row r="92" spans="1:17" x14ac:dyDescent="0.25">
      <c r="A92" s="186" t="str">
        <f>IF(88&lt;='入力 Inputs'!$B$86,88,"")</f>
        <v/>
      </c>
      <c r="B92" s="187" t="str">
        <f>IF(A92="","",'入力 Inputs'!$B$55+A92)</f>
        <v/>
      </c>
      <c r="C92" s="43" t="str">
        <f t="shared" si="23"/>
        <v/>
      </c>
      <c r="D92" s="43" t="str">
        <f>IF(A92="","",(D91-D91*'入力 Inputs'!$B$41-'入力 Inputs'!$B$57*(1+'入力 Inputs'!$B$91)^(88-1))*(1+'入力 Inputs'!$B$83))</f>
        <v/>
      </c>
      <c r="E92" s="43" t="str" cm="1">
        <f t="array" ref="E92">IF(A92="","",IF(A92&lt;=10,D92*(1-INDEX('入力 Inputs'!$B$71:$B$80,A92)),D92))</f>
        <v/>
      </c>
      <c r="F92" s="43" t="str">
        <f t="shared" si="16"/>
        <v/>
      </c>
      <c r="G92" s="43" t="str">
        <f>IF(A92="","",(G91-G91*'入力 Inputs'!$B$41-'入力 Inputs'!$B$57*(1+'入力 Inputs'!$B$91)^(88-1))*(1+'入力 Inputs'!$B$84))</f>
        <v/>
      </c>
      <c r="H92" s="43" t="str" cm="1">
        <f t="array" ref="H92">IF(A92="","",IF(A92&lt;=10,G92*(1-INDEX('入力 Inputs'!$B$71:$B$80,A92)),G92))</f>
        <v/>
      </c>
      <c r="I92" s="43" t="str">
        <f t="shared" si="17"/>
        <v/>
      </c>
      <c r="J92" s="43" t="str">
        <f>IF(A92="","",(J91-J91*'入力 Inputs'!$B$41-'入力 Inputs'!$B$57*(1+'入力 Inputs'!$B$91)^(88-1))*(1+'入力 Inputs'!$B$85))</f>
        <v/>
      </c>
      <c r="K92" s="43" t="str" cm="1">
        <f t="array" ref="K92">IF(A92="","",IF(A92&lt;=10,J92*(1-INDEX('入力 Inputs'!$B$71:$B$80,A92)),J92))</f>
        <v/>
      </c>
      <c r="L92" s="43" t="str">
        <f t="shared" si="18"/>
        <v/>
      </c>
      <c r="M92" s="170" t="str">
        <f>IF(A92="","",D92*'入力 Inputs'!$B$64)</f>
        <v/>
      </c>
      <c r="N92" t="str">
        <f t="shared" si="19"/>
        <v/>
      </c>
      <c r="O92" t="str">
        <f t="shared" si="20"/>
        <v/>
      </c>
      <c r="P92" t="str">
        <f t="shared" si="21"/>
        <v/>
      </c>
      <c r="Q92" t="str">
        <f t="shared" si="22"/>
        <v/>
      </c>
    </row>
    <row r="93" spans="1:17" x14ac:dyDescent="0.25">
      <c r="A93" s="186" t="str">
        <f>IF(89&lt;='入力 Inputs'!$B$86,89,"")</f>
        <v/>
      </c>
      <c r="B93" s="187" t="str">
        <f>IF(A93="","",'入力 Inputs'!$B$55+A93)</f>
        <v/>
      </c>
      <c r="C93" s="43" t="str">
        <f t="shared" si="23"/>
        <v/>
      </c>
      <c r="D93" s="43" t="str">
        <f>IF(A93="","",(D92-D92*'入力 Inputs'!$B$41-'入力 Inputs'!$B$57*(1+'入力 Inputs'!$B$91)^(89-1))*(1+'入力 Inputs'!$B$83))</f>
        <v/>
      </c>
      <c r="E93" s="43" t="str" cm="1">
        <f t="array" ref="E93">IF(A93="","",IF(A93&lt;=10,D93*(1-INDEX('入力 Inputs'!$B$71:$B$80,A93)),D93))</f>
        <v/>
      </c>
      <c r="F93" s="43" t="str">
        <f t="shared" si="16"/>
        <v/>
      </c>
      <c r="G93" s="43" t="str">
        <f>IF(A93="","",(G92-G92*'入力 Inputs'!$B$41-'入力 Inputs'!$B$57*(1+'入力 Inputs'!$B$91)^(89-1))*(1+'入力 Inputs'!$B$84))</f>
        <v/>
      </c>
      <c r="H93" s="43" t="str" cm="1">
        <f t="array" ref="H93">IF(A93="","",IF(A93&lt;=10,G93*(1-INDEX('入力 Inputs'!$B$71:$B$80,A93)),G93))</f>
        <v/>
      </c>
      <c r="I93" s="43" t="str">
        <f t="shared" si="17"/>
        <v/>
      </c>
      <c r="J93" s="43" t="str">
        <f>IF(A93="","",(J92-J92*'入力 Inputs'!$B$41-'入力 Inputs'!$B$57*(1+'入力 Inputs'!$B$91)^(89-1))*(1+'入力 Inputs'!$B$85))</f>
        <v/>
      </c>
      <c r="K93" s="43" t="str" cm="1">
        <f t="array" ref="K93">IF(A93="","",IF(A93&lt;=10,J93*(1-INDEX('入力 Inputs'!$B$71:$B$80,A93)),J93))</f>
        <v/>
      </c>
      <c r="L93" s="43" t="str">
        <f t="shared" si="18"/>
        <v/>
      </c>
      <c r="M93" s="170" t="str">
        <f>IF(A93="","",D93*'入力 Inputs'!$B$64)</f>
        <v/>
      </c>
      <c r="N93" t="str">
        <f t="shared" si="19"/>
        <v/>
      </c>
      <c r="O93" t="str">
        <f t="shared" si="20"/>
        <v/>
      </c>
      <c r="P93" t="str">
        <f t="shared" si="21"/>
        <v/>
      </c>
      <c r="Q93" t="str">
        <f t="shared" si="22"/>
        <v/>
      </c>
    </row>
    <row r="94" spans="1:17" x14ac:dyDescent="0.25">
      <c r="A94" s="186" t="str">
        <f>IF(90&lt;='入力 Inputs'!$B$86,90,"")</f>
        <v/>
      </c>
      <c r="B94" s="187" t="str">
        <f>IF(A94="","",'入力 Inputs'!$B$55+A94)</f>
        <v/>
      </c>
      <c r="C94" s="43" t="str">
        <f t="shared" si="23"/>
        <v/>
      </c>
      <c r="D94" s="43" t="str">
        <f>IF(A94="","",(D93-D93*'入力 Inputs'!$B$41-'入力 Inputs'!$B$57*(1+'入力 Inputs'!$B$91)^(90-1))*(1+'入力 Inputs'!$B$83))</f>
        <v/>
      </c>
      <c r="E94" s="43" t="str" cm="1">
        <f t="array" ref="E94">IF(A94="","",IF(A94&lt;=10,D94*(1-INDEX('入力 Inputs'!$B$71:$B$80,A94)),D94))</f>
        <v/>
      </c>
      <c r="F94" s="43" t="str">
        <f t="shared" si="16"/>
        <v/>
      </c>
      <c r="G94" s="43" t="str">
        <f>IF(A94="","",(G93-G93*'入力 Inputs'!$B$41-'入力 Inputs'!$B$57*(1+'入力 Inputs'!$B$91)^(90-1))*(1+'入力 Inputs'!$B$84))</f>
        <v/>
      </c>
      <c r="H94" s="43" t="str" cm="1">
        <f t="array" ref="H94">IF(A94="","",IF(A94&lt;=10,G94*(1-INDEX('入力 Inputs'!$B$71:$B$80,A94)),G94))</f>
        <v/>
      </c>
      <c r="I94" s="43" t="str">
        <f t="shared" si="17"/>
        <v/>
      </c>
      <c r="J94" s="43" t="str">
        <f>IF(A94="","",(J93-J93*'入力 Inputs'!$B$41-'入力 Inputs'!$B$57*(1+'入力 Inputs'!$B$91)^(90-1))*(1+'入力 Inputs'!$B$85))</f>
        <v/>
      </c>
      <c r="K94" s="43" t="str" cm="1">
        <f t="array" ref="K94">IF(A94="","",IF(A94&lt;=10,J94*(1-INDEX('入力 Inputs'!$B$71:$B$80,A94)),J94))</f>
        <v/>
      </c>
      <c r="L94" s="43" t="str">
        <f t="shared" si="18"/>
        <v/>
      </c>
      <c r="M94" s="170" t="str">
        <f>IF(A94="","",D94*'入力 Inputs'!$B$64)</f>
        <v/>
      </c>
      <c r="N94" t="str">
        <f t="shared" si="19"/>
        <v/>
      </c>
      <c r="O94" t="str">
        <f t="shared" si="20"/>
        <v/>
      </c>
      <c r="P94" t="str">
        <f t="shared" si="21"/>
        <v/>
      </c>
      <c r="Q94" t="str">
        <f t="shared" si="22"/>
        <v/>
      </c>
    </row>
    <row r="95" spans="1:17" x14ac:dyDescent="0.25">
      <c r="A95" s="186" t="str">
        <f>IF(91&lt;='入力 Inputs'!$B$86,91,"")</f>
        <v/>
      </c>
      <c r="B95" s="187" t="str">
        <f>IF(A95="","",'入力 Inputs'!$B$55+A95)</f>
        <v/>
      </c>
      <c r="C95" s="43" t="str">
        <f t="shared" si="23"/>
        <v/>
      </c>
      <c r="D95" s="43" t="str">
        <f>IF(A95="","",(D94-D94*'入力 Inputs'!$B$41-'入力 Inputs'!$B$57*(1+'入力 Inputs'!$B$91)^(91-1))*(1+'入力 Inputs'!$B$83))</f>
        <v/>
      </c>
      <c r="E95" s="43" t="str" cm="1">
        <f t="array" ref="E95">IF(A95="","",IF(A95&lt;=10,D95*(1-INDEX('入力 Inputs'!$B$71:$B$80,A95)),D95))</f>
        <v/>
      </c>
      <c r="F95" s="43" t="str">
        <f t="shared" si="16"/>
        <v/>
      </c>
      <c r="G95" s="43" t="str">
        <f>IF(A95="","",(G94-G94*'入力 Inputs'!$B$41-'入力 Inputs'!$B$57*(1+'入力 Inputs'!$B$91)^(91-1))*(1+'入力 Inputs'!$B$84))</f>
        <v/>
      </c>
      <c r="H95" s="43" t="str" cm="1">
        <f t="array" ref="H95">IF(A95="","",IF(A95&lt;=10,G95*(1-INDEX('入力 Inputs'!$B$71:$B$80,A95)),G95))</f>
        <v/>
      </c>
      <c r="I95" s="43" t="str">
        <f t="shared" si="17"/>
        <v/>
      </c>
      <c r="J95" s="43" t="str">
        <f>IF(A95="","",(J94-J94*'入力 Inputs'!$B$41-'入力 Inputs'!$B$57*(1+'入力 Inputs'!$B$91)^(91-1))*(1+'入力 Inputs'!$B$85))</f>
        <v/>
      </c>
      <c r="K95" s="43" t="str" cm="1">
        <f t="array" ref="K95">IF(A95="","",IF(A95&lt;=10,J95*(1-INDEX('入力 Inputs'!$B$71:$B$80,A95)),J95))</f>
        <v/>
      </c>
      <c r="L95" s="43" t="str">
        <f t="shared" si="18"/>
        <v/>
      </c>
      <c r="M95" s="170" t="str">
        <f>IF(A95="","",D95*'入力 Inputs'!$B$64)</f>
        <v/>
      </c>
      <c r="N95" t="str">
        <f t="shared" si="19"/>
        <v/>
      </c>
      <c r="O95" t="str">
        <f t="shared" si="20"/>
        <v/>
      </c>
      <c r="P95" t="str">
        <f t="shared" si="21"/>
        <v/>
      </c>
      <c r="Q95" t="str">
        <f t="shared" si="22"/>
        <v/>
      </c>
    </row>
    <row r="96" spans="1:17" x14ac:dyDescent="0.25">
      <c r="A96" s="186" t="str">
        <f>IF(92&lt;='入力 Inputs'!$B$86,92,"")</f>
        <v/>
      </c>
      <c r="B96" s="187" t="str">
        <f>IF(A96="","",'入力 Inputs'!$B$55+A96)</f>
        <v/>
      </c>
      <c r="C96" s="43" t="str">
        <f t="shared" si="23"/>
        <v/>
      </c>
      <c r="D96" s="43" t="str">
        <f>IF(A96="","",(D95-D95*'入力 Inputs'!$B$41-'入力 Inputs'!$B$57*(1+'入力 Inputs'!$B$91)^(92-1))*(1+'入力 Inputs'!$B$83))</f>
        <v/>
      </c>
      <c r="E96" s="43" t="str" cm="1">
        <f t="array" ref="E96">IF(A96="","",IF(A96&lt;=10,D96*(1-INDEX('入力 Inputs'!$B$71:$B$80,A96)),D96))</f>
        <v/>
      </c>
      <c r="F96" s="43" t="str">
        <f t="shared" si="16"/>
        <v/>
      </c>
      <c r="G96" s="43" t="str">
        <f>IF(A96="","",(G95-G95*'入力 Inputs'!$B$41-'入力 Inputs'!$B$57*(1+'入力 Inputs'!$B$91)^(92-1))*(1+'入力 Inputs'!$B$84))</f>
        <v/>
      </c>
      <c r="H96" s="43" t="str" cm="1">
        <f t="array" ref="H96">IF(A96="","",IF(A96&lt;=10,G96*(1-INDEX('入力 Inputs'!$B$71:$B$80,A96)),G96))</f>
        <v/>
      </c>
      <c r="I96" s="43" t="str">
        <f t="shared" si="17"/>
        <v/>
      </c>
      <c r="J96" s="43" t="str">
        <f>IF(A96="","",(J95-J95*'入力 Inputs'!$B$41-'入力 Inputs'!$B$57*(1+'入力 Inputs'!$B$91)^(92-1))*(1+'入力 Inputs'!$B$85))</f>
        <v/>
      </c>
      <c r="K96" s="43" t="str" cm="1">
        <f t="array" ref="K96">IF(A96="","",IF(A96&lt;=10,J96*(1-INDEX('入力 Inputs'!$B$71:$B$80,A96)),J96))</f>
        <v/>
      </c>
      <c r="L96" s="43" t="str">
        <f t="shared" si="18"/>
        <v/>
      </c>
      <c r="M96" s="170" t="str">
        <f>IF(A96="","",D96*'入力 Inputs'!$B$64)</f>
        <v/>
      </c>
      <c r="N96" t="str">
        <f t="shared" si="19"/>
        <v/>
      </c>
      <c r="O96" t="str">
        <f t="shared" si="20"/>
        <v/>
      </c>
      <c r="P96" t="str">
        <f t="shared" si="21"/>
        <v/>
      </c>
      <c r="Q96" t="str">
        <f t="shared" si="22"/>
        <v/>
      </c>
    </row>
    <row r="97" spans="1:17" x14ac:dyDescent="0.25">
      <c r="A97" s="186" t="str">
        <f>IF(93&lt;='入力 Inputs'!$B$86,93,"")</f>
        <v/>
      </c>
      <c r="B97" s="187" t="str">
        <f>IF(A97="","",'入力 Inputs'!$B$55+A97)</f>
        <v/>
      </c>
      <c r="C97" s="43" t="str">
        <f t="shared" si="23"/>
        <v/>
      </c>
      <c r="D97" s="43" t="str">
        <f>IF(A97="","",(D96-D96*'入力 Inputs'!$B$41-'入力 Inputs'!$B$57*(1+'入力 Inputs'!$B$91)^(93-1))*(1+'入力 Inputs'!$B$83))</f>
        <v/>
      </c>
      <c r="E97" s="43" t="str" cm="1">
        <f t="array" ref="E97">IF(A97="","",IF(A97&lt;=10,D97*(1-INDEX('入力 Inputs'!$B$71:$B$80,A97)),D97))</f>
        <v/>
      </c>
      <c r="F97" s="43" t="str">
        <f t="shared" si="16"/>
        <v/>
      </c>
      <c r="G97" s="43" t="str">
        <f>IF(A97="","",(G96-G96*'入力 Inputs'!$B$41-'入力 Inputs'!$B$57*(1+'入力 Inputs'!$B$91)^(93-1))*(1+'入力 Inputs'!$B$84))</f>
        <v/>
      </c>
      <c r="H97" s="43" t="str" cm="1">
        <f t="array" ref="H97">IF(A97="","",IF(A97&lt;=10,G97*(1-INDEX('入力 Inputs'!$B$71:$B$80,A97)),G97))</f>
        <v/>
      </c>
      <c r="I97" s="43" t="str">
        <f t="shared" si="17"/>
        <v/>
      </c>
      <c r="J97" s="43" t="str">
        <f>IF(A97="","",(J96-J96*'入力 Inputs'!$B$41-'入力 Inputs'!$B$57*(1+'入力 Inputs'!$B$91)^(93-1))*(1+'入力 Inputs'!$B$85))</f>
        <v/>
      </c>
      <c r="K97" s="43" t="str" cm="1">
        <f t="array" ref="K97">IF(A97="","",IF(A97&lt;=10,J97*(1-INDEX('入力 Inputs'!$B$71:$B$80,A97)),J97))</f>
        <v/>
      </c>
      <c r="L97" s="43" t="str">
        <f t="shared" si="18"/>
        <v/>
      </c>
      <c r="M97" s="170" t="str">
        <f>IF(A97="","",D97*'入力 Inputs'!$B$64)</f>
        <v/>
      </c>
      <c r="N97" t="str">
        <f t="shared" si="19"/>
        <v/>
      </c>
      <c r="O97" t="str">
        <f t="shared" si="20"/>
        <v/>
      </c>
      <c r="P97" t="str">
        <f t="shared" si="21"/>
        <v/>
      </c>
      <c r="Q97" t="str">
        <f t="shared" si="22"/>
        <v/>
      </c>
    </row>
    <row r="98" spans="1:17" x14ac:dyDescent="0.25">
      <c r="A98" s="186" t="str">
        <f>IF(94&lt;='入力 Inputs'!$B$86,94,"")</f>
        <v/>
      </c>
      <c r="B98" s="187" t="str">
        <f>IF(A98="","",'入力 Inputs'!$B$55+A98)</f>
        <v/>
      </c>
      <c r="C98" s="43" t="str">
        <f t="shared" si="23"/>
        <v/>
      </c>
      <c r="D98" s="43" t="str">
        <f>IF(A98="","",(D97-D97*'入力 Inputs'!$B$41-'入力 Inputs'!$B$57*(1+'入力 Inputs'!$B$91)^(94-1))*(1+'入力 Inputs'!$B$83))</f>
        <v/>
      </c>
      <c r="E98" s="43" t="str" cm="1">
        <f t="array" ref="E98">IF(A98="","",IF(A98&lt;=10,D98*(1-INDEX('入力 Inputs'!$B$71:$B$80,A98)),D98))</f>
        <v/>
      </c>
      <c r="F98" s="43" t="str">
        <f t="shared" si="16"/>
        <v/>
      </c>
      <c r="G98" s="43" t="str">
        <f>IF(A98="","",(G97-G97*'入力 Inputs'!$B$41-'入力 Inputs'!$B$57*(1+'入力 Inputs'!$B$91)^(94-1))*(1+'入力 Inputs'!$B$84))</f>
        <v/>
      </c>
      <c r="H98" s="43" t="str" cm="1">
        <f t="array" ref="H98">IF(A98="","",IF(A98&lt;=10,G98*(1-INDEX('入力 Inputs'!$B$71:$B$80,A98)),G98))</f>
        <v/>
      </c>
      <c r="I98" s="43" t="str">
        <f t="shared" si="17"/>
        <v/>
      </c>
      <c r="J98" s="43" t="str">
        <f>IF(A98="","",(J97-J97*'入力 Inputs'!$B$41-'入力 Inputs'!$B$57*(1+'入力 Inputs'!$B$91)^(94-1))*(1+'入力 Inputs'!$B$85))</f>
        <v/>
      </c>
      <c r="K98" s="43" t="str" cm="1">
        <f t="array" ref="K98">IF(A98="","",IF(A98&lt;=10,J98*(1-INDEX('入力 Inputs'!$B$71:$B$80,A98)),J98))</f>
        <v/>
      </c>
      <c r="L98" s="43" t="str">
        <f t="shared" si="18"/>
        <v/>
      </c>
      <c r="M98" s="170" t="str">
        <f>IF(A98="","",D98*'入力 Inputs'!$B$64)</f>
        <v/>
      </c>
      <c r="N98" t="str">
        <f t="shared" si="19"/>
        <v/>
      </c>
      <c r="O98" t="str">
        <f t="shared" si="20"/>
        <v/>
      </c>
      <c r="P98" t="str">
        <f t="shared" si="21"/>
        <v/>
      </c>
      <c r="Q98" t="str">
        <f t="shared" si="22"/>
        <v/>
      </c>
    </row>
    <row r="99" spans="1:17" x14ac:dyDescent="0.25">
      <c r="A99" s="186" t="str">
        <f>IF(95&lt;='入力 Inputs'!$B$86,95,"")</f>
        <v/>
      </c>
      <c r="B99" s="187" t="str">
        <f>IF(A99="","",'入力 Inputs'!$B$55+A99)</f>
        <v/>
      </c>
      <c r="C99" s="43" t="str">
        <f t="shared" si="23"/>
        <v/>
      </c>
      <c r="D99" s="43" t="str">
        <f>IF(A99="","",(D98-D98*'入力 Inputs'!$B$41-'入力 Inputs'!$B$57*(1+'入力 Inputs'!$B$91)^(95-1))*(1+'入力 Inputs'!$B$83))</f>
        <v/>
      </c>
      <c r="E99" s="43" t="str" cm="1">
        <f t="array" ref="E99">IF(A99="","",IF(A99&lt;=10,D99*(1-INDEX('入力 Inputs'!$B$71:$B$80,A99)),D99))</f>
        <v/>
      </c>
      <c r="F99" s="43" t="str">
        <f t="shared" si="16"/>
        <v/>
      </c>
      <c r="G99" s="43" t="str">
        <f>IF(A99="","",(G98-G98*'入力 Inputs'!$B$41-'入力 Inputs'!$B$57*(1+'入力 Inputs'!$B$91)^(95-1))*(1+'入力 Inputs'!$B$84))</f>
        <v/>
      </c>
      <c r="H99" s="43" t="str" cm="1">
        <f t="array" ref="H99">IF(A99="","",IF(A99&lt;=10,G99*(1-INDEX('入力 Inputs'!$B$71:$B$80,A99)),G99))</f>
        <v/>
      </c>
      <c r="I99" s="43" t="str">
        <f t="shared" si="17"/>
        <v/>
      </c>
      <c r="J99" s="43" t="str">
        <f>IF(A99="","",(J98-J98*'入力 Inputs'!$B$41-'入力 Inputs'!$B$57*(1+'入力 Inputs'!$B$91)^(95-1))*(1+'入力 Inputs'!$B$85))</f>
        <v/>
      </c>
      <c r="K99" s="43" t="str" cm="1">
        <f t="array" ref="K99">IF(A99="","",IF(A99&lt;=10,J99*(1-INDEX('入力 Inputs'!$B$71:$B$80,A99)),J99))</f>
        <v/>
      </c>
      <c r="L99" s="43" t="str">
        <f t="shared" si="18"/>
        <v/>
      </c>
      <c r="M99" s="170" t="str">
        <f>IF(A99="","",D99*'入力 Inputs'!$B$64)</f>
        <v/>
      </c>
      <c r="N99" t="str">
        <f t="shared" si="19"/>
        <v/>
      </c>
      <c r="O99" t="str">
        <f t="shared" si="20"/>
        <v/>
      </c>
      <c r="P99" t="str">
        <f t="shared" si="21"/>
        <v/>
      </c>
      <c r="Q99" t="str">
        <f t="shared" si="22"/>
        <v/>
      </c>
    </row>
    <row r="100" spans="1:17" x14ac:dyDescent="0.25">
      <c r="A100" s="186" t="str">
        <f>IF(96&lt;='入力 Inputs'!$B$86,96,"")</f>
        <v/>
      </c>
      <c r="B100" s="187" t="str">
        <f>IF(A100="","",'入力 Inputs'!$B$55+A100)</f>
        <v/>
      </c>
      <c r="C100" s="43" t="str">
        <f t="shared" si="23"/>
        <v/>
      </c>
      <c r="D100" s="43" t="str">
        <f>IF(A100="","",(D99-D99*'入力 Inputs'!$B$41-'入力 Inputs'!$B$57*(1+'入力 Inputs'!$B$91)^(96-1))*(1+'入力 Inputs'!$B$83))</f>
        <v/>
      </c>
      <c r="E100" s="43" t="str" cm="1">
        <f t="array" ref="E100">IF(A100="","",IF(A100&lt;=10,D100*(1-INDEX('入力 Inputs'!$B$71:$B$80,A100)),D100))</f>
        <v/>
      </c>
      <c r="F100" s="43" t="str">
        <f t="shared" si="16"/>
        <v/>
      </c>
      <c r="G100" s="43" t="str">
        <f>IF(A100="","",(G99-G99*'入力 Inputs'!$B$41-'入力 Inputs'!$B$57*(1+'入力 Inputs'!$B$91)^(96-1))*(1+'入力 Inputs'!$B$84))</f>
        <v/>
      </c>
      <c r="H100" s="43" t="str" cm="1">
        <f t="array" ref="H100">IF(A100="","",IF(A100&lt;=10,G100*(1-INDEX('入力 Inputs'!$B$71:$B$80,A100)),G100))</f>
        <v/>
      </c>
      <c r="I100" s="43" t="str">
        <f t="shared" si="17"/>
        <v/>
      </c>
      <c r="J100" s="43" t="str">
        <f>IF(A100="","",(J99-J99*'入力 Inputs'!$B$41-'入力 Inputs'!$B$57*(1+'入力 Inputs'!$B$91)^(96-1))*(1+'入力 Inputs'!$B$85))</f>
        <v/>
      </c>
      <c r="K100" s="43" t="str" cm="1">
        <f t="array" ref="K100">IF(A100="","",IF(A100&lt;=10,J100*(1-INDEX('入力 Inputs'!$B$71:$B$80,A100)),J100))</f>
        <v/>
      </c>
      <c r="L100" s="43" t="str">
        <f t="shared" si="18"/>
        <v/>
      </c>
      <c r="M100" s="170" t="str">
        <f>IF(A100="","",D100*'入力 Inputs'!$B$64)</f>
        <v/>
      </c>
      <c r="N100" t="str">
        <f t="shared" si="19"/>
        <v/>
      </c>
      <c r="O100" t="str">
        <f t="shared" si="20"/>
        <v/>
      </c>
      <c r="P100" t="str">
        <f t="shared" si="21"/>
        <v/>
      </c>
      <c r="Q100" t="str">
        <f t="shared" si="22"/>
        <v/>
      </c>
    </row>
    <row r="101" spans="1:17" x14ac:dyDescent="0.25">
      <c r="A101" s="186" t="str">
        <f>IF(97&lt;='入力 Inputs'!$B$86,97,"")</f>
        <v/>
      </c>
      <c r="B101" s="187" t="str">
        <f>IF(A101="","",'入力 Inputs'!$B$55+A101)</f>
        <v/>
      </c>
      <c r="C101" s="43" t="str">
        <f t="shared" si="23"/>
        <v/>
      </c>
      <c r="D101" s="43" t="str">
        <f>IF(A101="","",(D100-D100*'入力 Inputs'!$B$41-'入力 Inputs'!$B$57*(1+'入力 Inputs'!$B$91)^(97-1))*(1+'入力 Inputs'!$B$83))</f>
        <v/>
      </c>
      <c r="E101" s="43" t="str" cm="1">
        <f t="array" ref="E101">IF(A101="","",IF(A101&lt;=10,D101*(1-INDEX('入力 Inputs'!$B$71:$B$80,A101)),D101))</f>
        <v/>
      </c>
      <c r="F101" s="43" t="str">
        <f t="shared" ref="F101:F125" si="24">IF(A101="","",D101)</f>
        <v/>
      </c>
      <c r="G101" s="43" t="str">
        <f>IF(A101="","",(G100-G100*'入力 Inputs'!$B$41-'入力 Inputs'!$B$57*(1+'入力 Inputs'!$B$91)^(97-1))*(1+'入力 Inputs'!$B$84))</f>
        <v/>
      </c>
      <c r="H101" s="43" t="str" cm="1">
        <f t="array" ref="H101">IF(A101="","",IF(A101&lt;=10,G101*(1-INDEX('入力 Inputs'!$B$71:$B$80,A101)),G101))</f>
        <v/>
      </c>
      <c r="I101" s="43" t="str">
        <f t="shared" ref="I101:I125" si="25">IF(A101="","",G101)</f>
        <v/>
      </c>
      <c r="J101" s="43" t="str">
        <f>IF(A101="","",(J100-J100*'入力 Inputs'!$B$41-'入力 Inputs'!$B$57*(1+'入力 Inputs'!$B$91)^(97-1))*(1+'入力 Inputs'!$B$85))</f>
        <v/>
      </c>
      <c r="K101" s="43" t="str" cm="1">
        <f t="array" ref="K101">IF(A101="","",IF(A101&lt;=10,J101*(1-INDEX('入力 Inputs'!$B$71:$B$80,A101)),J101))</f>
        <v/>
      </c>
      <c r="L101" s="43" t="str">
        <f t="shared" ref="L101:L125" si="26">IF(A101="","",J101)</f>
        <v/>
      </c>
      <c r="M101" s="170" t="str">
        <f>IF(A101="","",D101*'入力 Inputs'!$B$64)</f>
        <v/>
      </c>
      <c r="N101" t="str">
        <f t="shared" ref="N101:N125" si="27">A101</f>
        <v/>
      </c>
      <c r="O101" t="str">
        <f t="shared" ref="O101:O125" si="28">IF(A101="","",D101)</f>
        <v/>
      </c>
      <c r="P101" t="str">
        <f t="shared" ref="P101:P125" si="29">IF(A101="","",G101)</f>
        <v/>
      </c>
      <c r="Q101" t="str">
        <f t="shared" ref="Q101:Q125" si="30">IF(A101="","",J101)</f>
        <v/>
      </c>
    </row>
    <row r="102" spans="1:17" x14ac:dyDescent="0.25">
      <c r="A102" s="186" t="str">
        <f>IF(98&lt;='入力 Inputs'!$B$86,98,"")</f>
        <v/>
      </c>
      <c r="B102" s="187" t="str">
        <f>IF(A102="","",'入力 Inputs'!$B$55+A102)</f>
        <v/>
      </c>
      <c r="C102" s="43" t="str">
        <f t="shared" ref="C102:C125" si="31">IF(A102="","",0)</f>
        <v/>
      </c>
      <c r="D102" s="43" t="str">
        <f>IF(A102="","",(D101-D101*'入力 Inputs'!$B$41-'入力 Inputs'!$B$57*(1+'入力 Inputs'!$B$91)^(98-1))*(1+'入力 Inputs'!$B$83))</f>
        <v/>
      </c>
      <c r="E102" s="43" t="str" cm="1">
        <f t="array" ref="E102">IF(A102="","",IF(A102&lt;=10,D102*(1-INDEX('入力 Inputs'!$B$71:$B$80,A102)),D102))</f>
        <v/>
      </c>
      <c r="F102" s="43" t="str">
        <f t="shared" si="24"/>
        <v/>
      </c>
      <c r="G102" s="43" t="str">
        <f>IF(A102="","",(G101-G101*'入力 Inputs'!$B$41-'入力 Inputs'!$B$57*(1+'入力 Inputs'!$B$91)^(98-1))*(1+'入力 Inputs'!$B$84))</f>
        <v/>
      </c>
      <c r="H102" s="43" t="str" cm="1">
        <f t="array" ref="H102">IF(A102="","",IF(A102&lt;=10,G102*(1-INDEX('入力 Inputs'!$B$71:$B$80,A102)),G102))</f>
        <v/>
      </c>
      <c r="I102" s="43" t="str">
        <f t="shared" si="25"/>
        <v/>
      </c>
      <c r="J102" s="43" t="str">
        <f>IF(A102="","",(J101-J101*'入力 Inputs'!$B$41-'入力 Inputs'!$B$57*(1+'入力 Inputs'!$B$91)^(98-1))*(1+'入力 Inputs'!$B$85))</f>
        <v/>
      </c>
      <c r="K102" s="43" t="str" cm="1">
        <f t="array" ref="K102">IF(A102="","",IF(A102&lt;=10,J102*(1-INDEX('入力 Inputs'!$B$71:$B$80,A102)),J102))</f>
        <v/>
      </c>
      <c r="L102" s="43" t="str">
        <f t="shared" si="26"/>
        <v/>
      </c>
      <c r="M102" s="170" t="str">
        <f>IF(A102="","",D102*'入力 Inputs'!$B$64)</f>
        <v/>
      </c>
      <c r="N102" t="str">
        <f t="shared" si="27"/>
        <v/>
      </c>
      <c r="O102" t="str">
        <f t="shared" si="28"/>
        <v/>
      </c>
      <c r="P102" t="str">
        <f t="shared" si="29"/>
        <v/>
      </c>
      <c r="Q102" t="str">
        <f t="shared" si="30"/>
        <v/>
      </c>
    </row>
    <row r="103" spans="1:17" x14ac:dyDescent="0.25">
      <c r="A103" s="186" t="str">
        <f>IF(99&lt;='入力 Inputs'!$B$86,99,"")</f>
        <v/>
      </c>
      <c r="B103" s="187" t="str">
        <f>IF(A103="","",'入力 Inputs'!$B$55+A103)</f>
        <v/>
      </c>
      <c r="C103" s="43" t="str">
        <f t="shared" si="31"/>
        <v/>
      </c>
      <c r="D103" s="43" t="str">
        <f>IF(A103="","",(D102-D102*'入力 Inputs'!$B$41-'入力 Inputs'!$B$57*(1+'入力 Inputs'!$B$91)^(99-1))*(1+'入力 Inputs'!$B$83))</f>
        <v/>
      </c>
      <c r="E103" s="43" t="str" cm="1">
        <f t="array" ref="E103">IF(A103="","",IF(A103&lt;=10,D103*(1-INDEX('入力 Inputs'!$B$71:$B$80,A103)),D103))</f>
        <v/>
      </c>
      <c r="F103" s="43" t="str">
        <f t="shared" si="24"/>
        <v/>
      </c>
      <c r="G103" s="43" t="str">
        <f>IF(A103="","",(G102-G102*'入力 Inputs'!$B$41-'入力 Inputs'!$B$57*(1+'入力 Inputs'!$B$91)^(99-1))*(1+'入力 Inputs'!$B$84))</f>
        <v/>
      </c>
      <c r="H103" s="43" t="str" cm="1">
        <f t="array" ref="H103">IF(A103="","",IF(A103&lt;=10,G103*(1-INDEX('入力 Inputs'!$B$71:$B$80,A103)),G103))</f>
        <v/>
      </c>
      <c r="I103" s="43" t="str">
        <f t="shared" si="25"/>
        <v/>
      </c>
      <c r="J103" s="43" t="str">
        <f>IF(A103="","",(J102-J102*'入力 Inputs'!$B$41-'入力 Inputs'!$B$57*(1+'入力 Inputs'!$B$91)^(99-1))*(1+'入力 Inputs'!$B$85))</f>
        <v/>
      </c>
      <c r="K103" s="43" t="str" cm="1">
        <f t="array" ref="K103">IF(A103="","",IF(A103&lt;=10,J103*(1-INDEX('入力 Inputs'!$B$71:$B$80,A103)),J103))</f>
        <v/>
      </c>
      <c r="L103" s="43" t="str">
        <f t="shared" si="26"/>
        <v/>
      </c>
      <c r="M103" s="170" t="str">
        <f>IF(A103="","",D103*'入力 Inputs'!$B$64)</f>
        <v/>
      </c>
      <c r="N103" t="str">
        <f t="shared" si="27"/>
        <v/>
      </c>
      <c r="O103" t="str">
        <f t="shared" si="28"/>
        <v/>
      </c>
      <c r="P103" t="str">
        <f t="shared" si="29"/>
        <v/>
      </c>
      <c r="Q103" t="str">
        <f t="shared" si="30"/>
        <v/>
      </c>
    </row>
    <row r="104" spans="1:17" x14ac:dyDescent="0.25">
      <c r="A104" s="186" t="str">
        <f>IF(100&lt;='入力 Inputs'!$B$86,100,"")</f>
        <v/>
      </c>
      <c r="B104" s="187" t="str">
        <f>IF(A104="","",'入力 Inputs'!$B$55+A104)</f>
        <v/>
      </c>
      <c r="C104" s="43" t="str">
        <f t="shared" si="31"/>
        <v/>
      </c>
      <c r="D104" s="43" t="str">
        <f>IF(A104="","",(D103-D103*'入力 Inputs'!$B$41-'入力 Inputs'!$B$57*(1+'入力 Inputs'!$B$91)^(100-1))*(1+'入力 Inputs'!$B$83))</f>
        <v/>
      </c>
      <c r="E104" s="43" t="str" cm="1">
        <f t="array" ref="E104">IF(A104="","",IF(A104&lt;=10,D104*(1-INDEX('入力 Inputs'!$B$71:$B$80,A104)),D104))</f>
        <v/>
      </c>
      <c r="F104" s="43" t="str">
        <f t="shared" si="24"/>
        <v/>
      </c>
      <c r="G104" s="43" t="str">
        <f>IF(A104="","",(G103-G103*'入力 Inputs'!$B$41-'入力 Inputs'!$B$57*(1+'入力 Inputs'!$B$91)^(100-1))*(1+'入力 Inputs'!$B$84))</f>
        <v/>
      </c>
      <c r="H104" s="43" t="str" cm="1">
        <f t="array" ref="H104">IF(A104="","",IF(A104&lt;=10,G104*(1-INDEX('入力 Inputs'!$B$71:$B$80,A104)),G104))</f>
        <v/>
      </c>
      <c r="I104" s="43" t="str">
        <f t="shared" si="25"/>
        <v/>
      </c>
      <c r="J104" s="43" t="str">
        <f>IF(A104="","",(J103-J103*'入力 Inputs'!$B$41-'入力 Inputs'!$B$57*(1+'入力 Inputs'!$B$91)^(100-1))*(1+'入力 Inputs'!$B$85))</f>
        <v/>
      </c>
      <c r="K104" s="43" t="str" cm="1">
        <f t="array" ref="K104">IF(A104="","",IF(A104&lt;=10,J104*(1-INDEX('入力 Inputs'!$B$71:$B$80,A104)),J104))</f>
        <v/>
      </c>
      <c r="L104" s="43" t="str">
        <f t="shared" si="26"/>
        <v/>
      </c>
      <c r="M104" s="170" t="str">
        <f>IF(A104="","",D104*'入力 Inputs'!$B$64)</f>
        <v/>
      </c>
      <c r="N104" t="str">
        <f t="shared" si="27"/>
        <v/>
      </c>
      <c r="O104" t="str">
        <f t="shared" si="28"/>
        <v/>
      </c>
      <c r="P104" t="str">
        <f t="shared" si="29"/>
        <v/>
      </c>
      <c r="Q104" t="str">
        <f t="shared" si="30"/>
        <v/>
      </c>
    </row>
    <row r="105" spans="1:17" x14ac:dyDescent="0.25">
      <c r="A105" s="186" t="str">
        <f>IF(101&lt;='入力 Inputs'!$B$86,101,"")</f>
        <v/>
      </c>
      <c r="B105" s="187" t="str">
        <f>IF(A105="","",'入力 Inputs'!$B$55+A105)</f>
        <v/>
      </c>
      <c r="C105" s="43" t="str">
        <f t="shared" si="31"/>
        <v/>
      </c>
      <c r="D105" s="43" t="str">
        <f>IF(A105="","",(D104-D104*'入力 Inputs'!$B$41-'入力 Inputs'!$B$57*(1+'入力 Inputs'!$B$91)^(101-1))*(1+'入力 Inputs'!$B$83))</f>
        <v/>
      </c>
      <c r="E105" s="43" t="str" cm="1">
        <f t="array" ref="E105">IF(A105="","",IF(A105&lt;=10,D105*(1-INDEX('入力 Inputs'!$B$71:$B$80,A105)),D105))</f>
        <v/>
      </c>
      <c r="F105" s="43" t="str">
        <f t="shared" si="24"/>
        <v/>
      </c>
      <c r="G105" s="43" t="str">
        <f>IF(A105="","",(G104-G104*'入力 Inputs'!$B$41-'入力 Inputs'!$B$57*(1+'入力 Inputs'!$B$91)^(101-1))*(1+'入力 Inputs'!$B$84))</f>
        <v/>
      </c>
      <c r="H105" s="43" t="str" cm="1">
        <f t="array" ref="H105">IF(A105="","",IF(A105&lt;=10,G105*(1-INDEX('入力 Inputs'!$B$71:$B$80,A105)),G105))</f>
        <v/>
      </c>
      <c r="I105" s="43" t="str">
        <f t="shared" si="25"/>
        <v/>
      </c>
      <c r="J105" s="43" t="str">
        <f>IF(A105="","",(J104-J104*'入力 Inputs'!$B$41-'入力 Inputs'!$B$57*(1+'入力 Inputs'!$B$91)^(101-1))*(1+'入力 Inputs'!$B$85))</f>
        <v/>
      </c>
      <c r="K105" s="43" t="str" cm="1">
        <f t="array" ref="K105">IF(A105="","",IF(A105&lt;=10,J105*(1-INDEX('入力 Inputs'!$B$71:$B$80,A105)),J105))</f>
        <v/>
      </c>
      <c r="L105" s="43" t="str">
        <f t="shared" si="26"/>
        <v/>
      </c>
      <c r="M105" s="170" t="str">
        <f>IF(A105="","",D105*'入力 Inputs'!$B$64)</f>
        <v/>
      </c>
      <c r="N105" t="str">
        <f t="shared" si="27"/>
        <v/>
      </c>
      <c r="O105" t="str">
        <f t="shared" si="28"/>
        <v/>
      </c>
      <c r="P105" t="str">
        <f t="shared" si="29"/>
        <v/>
      </c>
      <c r="Q105" t="str">
        <f t="shared" si="30"/>
        <v/>
      </c>
    </row>
    <row r="106" spans="1:17" x14ac:dyDescent="0.25">
      <c r="A106" s="186" t="str">
        <f>IF(102&lt;='入力 Inputs'!$B$86,102,"")</f>
        <v/>
      </c>
      <c r="B106" s="187" t="str">
        <f>IF(A106="","",'入力 Inputs'!$B$55+A106)</f>
        <v/>
      </c>
      <c r="C106" s="43" t="str">
        <f t="shared" si="31"/>
        <v/>
      </c>
      <c r="D106" s="43" t="str">
        <f>IF(A106="","",(D105-D105*'入力 Inputs'!$B$41-'入力 Inputs'!$B$57*(1+'入力 Inputs'!$B$91)^(102-1))*(1+'入力 Inputs'!$B$83))</f>
        <v/>
      </c>
      <c r="E106" s="43" t="str" cm="1">
        <f t="array" ref="E106">IF(A106="","",IF(A106&lt;=10,D106*(1-INDEX('入力 Inputs'!$B$71:$B$80,A106)),D106))</f>
        <v/>
      </c>
      <c r="F106" s="43" t="str">
        <f t="shared" si="24"/>
        <v/>
      </c>
      <c r="G106" s="43" t="str">
        <f>IF(A106="","",(G105-G105*'入力 Inputs'!$B$41-'入力 Inputs'!$B$57*(1+'入力 Inputs'!$B$91)^(102-1))*(1+'入力 Inputs'!$B$84))</f>
        <v/>
      </c>
      <c r="H106" s="43" t="str" cm="1">
        <f t="array" ref="H106">IF(A106="","",IF(A106&lt;=10,G106*(1-INDEX('入力 Inputs'!$B$71:$B$80,A106)),G106))</f>
        <v/>
      </c>
      <c r="I106" s="43" t="str">
        <f t="shared" si="25"/>
        <v/>
      </c>
      <c r="J106" s="43" t="str">
        <f>IF(A106="","",(J105-J105*'入力 Inputs'!$B$41-'入力 Inputs'!$B$57*(1+'入力 Inputs'!$B$91)^(102-1))*(1+'入力 Inputs'!$B$85))</f>
        <v/>
      </c>
      <c r="K106" s="43" t="str" cm="1">
        <f t="array" ref="K106">IF(A106="","",IF(A106&lt;=10,J106*(1-INDEX('入力 Inputs'!$B$71:$B$80,A106)),J106))</f>
        <v/>
      </c>
      <c r="L106" s="43" t="str">
        <f t="shared" si="26"/>
        <v/>
      </c>
      <c r="M106" s="170" t="str">
        <f>IF(A106="","",D106*'入力 Inputs'!$B$64)</f>
        <v/>
      </c>
      <c r="N106" t="str">
        <f t="shared" si="27"/>
        <v/>
      </c>
      <c r="O106" t="str">
        <f t="shared" si="28"/>
        <v/>
      </c>
      <c r="P106" t="str">
        <f t="shared" si="29"/>
        <v/>
      </c>
      <c r="Q106" t="str">
        <f t="shared" si="30"/>
        <v/>
      </c>
    </row>
    <row r="107" spans="1:17" x14ac:dyDescent="0.25">
      <c r="A107" s="186" t="str">
        <f>IF(103&lt;='入力 Inputs'!$B$86,103,"")</f>
        <v/>
      </c>
      <c r="B107" s="187" t="str">
        <f>IF(A107="","",'入力 Inputs'!$B$55+A107)</f>
        <v/>
      </c>
      <c r="C107" s="43" t="str">
        <f t="shared" si="31"/>
        <v/>
      </c>
      <c r="D107" s="43" t="str">
        <f>IF(A107="","",(D106-D106*'入力 Inputs'!$B$41-'入力 Inputs'!$B$57*(1+'入力 Inputs'!$B$91)^(103-1))*(1+'入力 Inputs'!$B$83))</f>
        <v/>
      </c>
      <c r="E107" s="43" t="str" cm="1">
        <f t="array" ref="E107">IF(A107="","",IF(A107&lt;=10,D107*(1-INDEX('入力 Inputs'!$B$71:$B$80,A107)),D107))</f>
        <v/>
      </c>
      <c r="F107" s="43" t="str">
        <f t="shared" si="24"/>
        <v/>
      </c>
      <c r="G107" s="43" t="str">
        <f>IF(A107="","",(G106-G106*'入力 Inputs'!$B$41-'入力 Inputs'!$B$57*(1+'入力 Inputs'!$B$91)^(103-1))*(1+'入力 Inputs'!$B$84))</f>
        <v/>
      </c>
      <c r="H107" s="43" t="str" cm="1">
        <f t="array" ref="H107">IF(A107="","",IF(A107&lt;=10,G107*(1-INDEX('入力 Inputs'!$B$71:$B$80,A107)),G107))</f>
        <v/>
      </c>
      <c r="I107" s="43" t="str">
        <f t="shared" si="25"/>
        <v/>
      </c>
      <c r="J107" s="43" t="str">
        <f>IF(A107="","",(J106-J106*'入力 Inputs'!$B$41-'入力 Inputs'!$B$57*(1+'入力 Inputs'!$B$91)^(103-1))*(1+'入力 Inputs'!$B$85))</f>
        <v/>
      </c>
      <c r="K107" s="43" t="str" cm="1">
        <f t="array" ref="K107">IF(A107="","",IF(A107&lt;=10,J107*(1-INDEX('入力 Inputs'!$B$71:$B$80,A107)),J107))</f>
        <v/>
      </c>
      <c r="L107" s="43" t="str">
        <f t="shared" si="26"/>
        <v/>
      </c>
      <c r="M107" s="170" t="str">
        <f>IF(A107="","",D107*'入力 Inputs'!$B$64)</f>
        <v/>
      </c>
      <c r="N107" t="str">
        <f t="shared" si="27"/>
        <v/>
      </c>
      <c r="O107" t="str">
        <f t="shared" si="28"/>
        <v/>
      </c>
      <c r="P107" t="str">
        <f t="shared" si="29"/>
        <v/>
      </c>
      <c r="Q107" t="str">
        <f t="shared" si="30"/>
        <v/>
      </c>
    </row>
    <row r="108" spans="1:17" x14ac:dyDescent="0.25">
      <c r="A108" s="186" t="str">
        <f>IF(104&lt;='入力 Inputs'!$B$86,104,"")</f>
        <v/>
      </c>
      <c r="B108" s="187" t="str">
        <f>IF(A108="","",'入力 Inputs'!$B$55+A108)</f>
        <v/>
      </c>
      <c r="C108" s="43" t="str">
        <f t="shared" si="31"/>
        <v/>
      </c>
      <c r="D108" s="43" t="str">
        <f>IF(A108="","",(D107-D107*'入力 Inputs'!$B$41-'入力 Inputs'!$B$57*(1+'入力 Inputs'!$B$91)^(104-1))*(1+'入力 Inputs'!$B$83))</f>
        <v/>
      </c>
      <c r="E108" s="43" t="str" cm="1">
        <f t="array" ref="E108">IF(A108="","",IF(A108&lt;=10,D108*(1-INDEX('入力 Inputs'!$B$71:$B$80,A108)),D108))</f>
        <v/>
      </c>
      <c r="F108" s="43" t="str">
        <f t="shared" si="24"/>
        <v/>
      </c>
      <c r="G108" s="43" t="str">
        <f>IF(A108="","",(G107-G107*'入力 Inputs'!$B$41-'入力 Inputs'!$B$57*(1+'入力 Inputs'!$B$91)^(104-1))*(1+'入力 Inputs'!$B$84))</f>
        <v/>
      </c>
      <c r="H108" s="43" t="str" cm="1">
        <f t="array" ref="H108">IF(A108="","",IF(A108&lt;=10,G108*(1-INDEX('入力 Inputs'!$B$71:$B$80,A108)),G108))</f>
        <v/>
      </c>
      <c r="I108" s="43" t="str">
        <f t="shared" si="25"/>
        <v/>
      </c>
      <c r="J108" s="43" t="str">
        <f>IF(A108="","",(J107-J107*'入力 Inputs'!$B$41-'入力 Inputs'!$B$57*(1+'入力 Inputs'!$B$91)^(104-1))*(1+'入力 Inputs'!$B$85))</f>
        <v/>
      </c>
      <c r="K108" s="43" t="str" cm="1">
        <f t="array" ref="K108">IF(A108="","",IF(A108&lt;=10,J108*(1-INDEX('入力 Inputs'!$B$71:$B$80,A108)),J108))</f>
        <v/>
      </c>
      <c r="L108" s="43" t="str">
        <f t="shared" si="26"/>
        <v/>
      </c>
      <c r="M108" s="170" t="str">
        <f>IF(A108="","",D108*'入力 Inputs'!$B$64)</f>
        <v/>
      </c>
      <c r="N108" t="str">
        <f t="shared" si="27"/>
        <v/>
      </c>
      <c r="O108" t="str">
        <f t="shared" si="28"/>
        <v/>
      </c>
      <c r="P108" t="str">
        <f t="shared" si="29"/>
        <v/>
      </c>
      <c r="Q108" t="str">
        <f t="shared" si="30"/>
        <v/>
      </c>
    </row>
    <row r="109" spans="1:17" x14ac:dyDescent="0.25">
      <c r="A109" s="186" t="str">
        <f>IF(105&lt;='入力 Inputs'!$B$86,105,"")</f>
        <v/>
      </c>
      <c r="B109" s="187" t="str">
        <f>IF(A109="","",'入力 Inputs'!$B$55+A109)</f>
        <v/>
      </c>
      <c r="C109" s="43" t="str">
        <f t="shared" si="31"/>
        <v/>
      </c>
      <c r="D109" s="43" t="str">
        <f>IF(A109="","",(D108-D108*'入力 Inputs'!$B$41-'入力 Inputs'!$B$57*(1+'入力 Inputs'!$B$91)^(105-1))*(1+'入力 Inputs'!$B$83))</f>
        <v/>
      </c>
      <c r="E109" s="43" t="str" cm="1">
        <f t="array" ref="E109">IF(A109="","",IF(A109&lt;=10,D109*(1-INDEX('入力 Inputs'!$B$71:$B$80,A109)),D109))</f>
        <v/>
      </c>
      <c r="F109" s="43" t="str">
        <f t="shared" si="24"/>
        <v/>
      </c>
      <c r="G109" s="43" t="str">
        <f>IF(A109="","",(G108-G108*'入力 Inputs'!$B$41-'入力 Inputs'!$B$57*(1+'入力 Inputs'!$B$91)^(105-1))*(1+'入力 Inputs'!$B$84))</f>
        <v/>
      </c>
      <c r="H109" s="43" t="str" cm="1">
        <f t="array" ref="H109">IF(A109="","",IF(A109&lt;=10,G109*(1-INDEX('入力 Inputs'!$B$71:$B$80,A109)),G109))</f>
        <v/>
      </c>
      <c r="I109" s="43" t="str">
        <f t="shared" si="25"/>
        <v/>
      </c>
      <c r="J109" s="43" t="str">
        <f>IF(A109="","",(J108-J108*'入力 Inputs'!$B$41-'入力 Inputs'!$B$57*(1+'入力 Inputs'!$B$91)^(105-1))*(1+'入力 Inputs'!$B$85))</f>
        <v/>
      </c>
      <c r="K109" s="43" t="str" cm="1">
        <f t="array" ref="K109">IF(A109="","",IF(A109&lt;=10,J109*(1-INDEX('入力 Inputs'!$B$71:$B$80,A109)),J109))</f>
        <v/>
      </c>
      <c r="L109" s="43" t="str">
        <f t="shared" si="26"/>
        <v/>
      </c>
      <c r="M109" s="170" t="str">
        <f>IF(A109="","",D109*'入力 Inputs'!$B$64)</f>
        <v/>
      </c>
      <c r="N109" t="str">
        <f t="shared" si="27"/>
        <v/>
      </c>
      <c r="O109" t="str">
        <f t="shared" si="28"/>
        <v/>
      </c>
      <c r="P109" t="str">
        <f t="shared" si="29"/>
        <v/>
      </c>
      <c r="Q109" t="str">
        <f t="shared" si="30"/>
        <v/>
      </c>
    </row>
    <row r="110" spans="1:17" x14ac:dyDescent="0.25">
      <c r="A110" s="186" t="str">
        <f>IF(106&lt;='入力 Inputs'!$B$86,106,"")</f>
        <v/>
      </c>
      <c r="B110" s="187" t="str">
        <f>IF(A110="","",'入力 Inputs'!$B$55+A110)</f>
        <v/>
      </c>
      <c r="C110" s="43" t="str">
        <f t="shared" si="31"/>
        <v/>
      </c>
      <c r="D110" s="43" t="str">
        <f>IF(A110="","",(D109-D109*'入力 Inputs'!$B$41-'入力 Inputs'!$B$57*(1+'入力 Inputs'!$B$91)^(106-1))*(1+'入力 Inputs'!$B$83))</f>
        <v/>
      </c>
      <c r="E110" s="43" t="str" cm="1">
        <f t="array" ref="E110">IF(A110="","",IF(A110&lt;=10,D110*(1-INDEX('入力 Inputs'!$B$71:$B$80,A110)),D110))</f>
        <v/>
      </c>
      <c r="F110" s="43" t="str">
        <f t="shared" si="24"/>
        <v/>
      </c>
      <c r="G110" s="43" t="str">
        <f>IF(A110="","",(G109-G109*'入力 Inputs'!$B$41-'入力 Inputs'!$B$57*(1+'入力 Inputs'!$B$91)^(106-1))*(1+'入力 Inputs'!$B$84))</f>
        <v/>
      </c>
      <c r="H110" s="43" t="str" cm="1">
        <f t="array" ref="H110">IF(A110="","",IF(A110&lt;=10,G110*(1-INDEX('入力 Inputs'!$B$71:$B$80,A110)),G110))</f>
        <v/>
      </c>
      <c r="I110" s="43" t="str">
        <f t="shared" si="25"/>
        <v/>
      </c>
      <c r="J110" s="43" t="str">
        <f>IF(A110="","",(J109-J109*'入力 Inputs'!$B$41-'入力 Inputs'!$B$57*(1+'入力 Inputs'!$B$91)^(106-1))*(1+'入力 Inputs'!$B$85))</f>
        <v/>
      </c>
      <c r="K110" s="43" t="str" cm="1">
        <f t="array" ref="K110">IF(A110="","",IF(A110&lt;=10,J110*(1-INDEX('入力 Inputs'!$B$71:$B$80,A110)),J110))</f>
        <v/>
      </c>
      <c r="L110" s="43" t="str">
        <f t="shared" si="26"/>
        <v/>
      </c>
      <c r="M110" s="170" t="str">
        <f>IF(A110="","",D110*'入力 Inputs'!$B$64)</f>
        <v/>
      </c>
      <c r="N110" t="str">
        <f t="shared" si="27"/>
        <v/>
      </c>
      <c r="O110" t="str">
        <f t="shared" si="28"/>
        <v/>
      </c>
      <c r="P110" t="str">
        <f t="shared" si="29"/>
        <v/>
      </c>
      <c r="Q110" t="str">
        <f t="shared" si="30"/>
        <v/>
      </c>
    </row>
    <row r="111" spans="1:17" x14ac:dyDescent="0.25">
      <c r="A111" s="186" t="str">
        <f>IF(107&lt;='入力 Inputs'!$B$86,107,"")</f>
        <v/>
      </c>
      <c r="B111" s="187" t="str">
        <f>IF(A111="","",'入力 Inputs'!$B$55+A111)</f>
        <v/>
      </c>
      <c r="C111" s="43" t="str">
        <f t="shared" si="31"/>
        <v/>
      </c>
      <c r="D111" s="43" t="str">
        <f>IF(A111="","",(D110-D110*'入力 Inputs'!$B$41-'入力 Inputs'!$B$57*(1+'入力 Inputs'!$B$91)^(107-1))*(1+'入力 Inputs'!$B$83))</f>
        <v/>
      </c>
      <c r="E111" s="43" t="str" cm="1">
        <f t="array" ref="E111">IF(A111="","",IF(A111&lt;=10,D111*(1-INDEX('入力 Inputs'!$B$71:$B$80,A111)),D111))</f>
        <v/>
      </c>
      <c r="F111" s="43" t="str">
        <f t="shared" si="24"/>
        <v/>
      </c>
      <c r="G111" s="43" t="str">
        <f>IF(A111="","",(G110-G110*'入力 Inputs'!$B$41-'入力 Inputs'!$B$57*(1+'入力 Inputs'!$B$91)^(107-1))*(1+'入力 Inputs'!$B$84))</f>
        <v/>
      </c>
      <c r="H111" s="43" t="str" cm="1">
        <f t="array" ref="H111">IF(A111="","",IF(A111&lt;=10,G111*(1-INDEX('入力 Inputs'!$B$71:$B$80,A111)),G111))</f>
        <v/>
      </c>
      <c r="I111" s="43" t="str">
        <f t="shared" si="25"/>
        <v/>
      </c>
      <c r="J111" s="43" t="str">
        <f>IF(A111="","",(J110-J110*'入力 Inputs'!$B$41-'入力 Inputs'!$B$57*(1+'入力 Inputs'!$B$91)^(107-1))*(1+'入力 Inputs'!$B$85))</f>
        <v/>
      </c>
      <c r="K111" s="43" t="str" cm="1">
        <f t="array" ref="K111">IF(A111="","",IF(A111&lt;=10,J111*(1-INDEX('入力 Inputs'!$B$71:$B$80,A111)),J111))</f>
        <v/>
      </c>
      <c r="L111" s="43" t="str">
        <f t="shared" si="26"/>
        <v/>
      </c>
      <c r="M111" s="170" t="str">
        <f>IF(A111="","",D111*'入力 Inputs'!$B$64)</f>
        <v/>
      </c>
      <c r="N111" t="str">
        <f t="shared" si="27"/>
        <v/>
      </c>
      <c r="O111" t="str">
        <f t="shared" si="28"/>
        <v/>
      </c>
      <c r="P111" t="str">
        <f t="shared" si="29"/>
        <v/>
      </c>
      <c r="Q111" t="str">
        <f t="shared" si="30"/>
        <v/>
      </c>
    </row>
    <row r="112" spans="1:17" x14ac:dyDescent="0.25">
      <c r="A112" s="186" t="str">
        <f>IF(108&lt;='入力 Inputs'!$B$86,108,"")</f>
        <v/>
      </c>
      <c r="B112" s="187" t="str">
        <f>IF(A112="","",'入力 Inputs'!$B$55+A112)</f>
        <v/>
      </c>
      <c r="C112" s="43" t="str">
        <f t="shared" si="31"/>
        <v/>
      </c>
      <c r="D112" s="43" t="str">
        <f>IF(A112="","",(D111-D111*'入力 Inputs'!$B$41-'入力 Inputs'!$B$57*(1+'入力 Inputs'!$B$91)^(108-1))*(1+'入力 Inputs'!$B$83))</f>
        <v/>
      </c>
      <c r="E112" s="43" t="str" cm="1">
        <f t="array" ref="E112">IF(A112="","",IF(A112&lt;=10,D112*(1-INDEX('入力 Inputs'!$B$71:$B$80,A112)),D112))</f>
        <v/>
      </c>
      <c r="F112" s="43" t="str">
        <f t="shared" si="24"/>
        <v/>
      </c>
      <c r="G112" s="43" t="str">
        <f>IF(A112="","",(G111-G111*'入力 Inputs'!$B$41-'入力 Inputs'!$B$57*(1+'入力 Inputs'!$B$91)^(108-1))*(1+'入力 Inputs'!$B$84))</f>
        <v/>
      </c>
      <c r="H112" s="43" t="str" cm="1">
        <f t="array" ref="H112">IF(A112="","",IF(A112&lt;=10,G112*(1-INDEX('入力 Inputs'!$B$71:$B$80,A112)),G112))</f>
        <v/>
      </c>
      <c r="I112" s="43" t="str">
        <f t="shared" si="25"/>
        <v/>
      </c>
      <c r="J112" s="43" t="str">
        <f>IF(A112="","",(J111-J111*'入力 Inputs'!$B$41-'入力 Inputs'!$B$57*(1+'入力 Inputs'!$B$91)^(108-1))*(1+'入力 Inputs'!$B$85))</f>
        <v/>
      </c>
      <c r="K112" s="43" t="str" cm="1">
        <f t="array" ref="K112">IF(A112="","",IF(A112&lt;=10,J112*(1-INDEX('入力 Inputs'!$B$71:$B$80,A112)),J112))</f>
        <v/>
      </c>
      <c r="L112" s="43" t="str">
        <f t="shared" si="26"/>
        <v/>
      </c>
      <c r="M112" s="170" t="str">
        <f>IF(A112="","",D112*'入力 Inputs'!$B$64)</f>
        <v/>
      </c>
      <c r="N112" t="str">
        <f t="shared" si="27"/>
        <v/>
      </c>
      <c r="O112" t="str">
        <f t="shared" si="28"/>
        <v/>
      </c>
      <c r="P112" t="str">
        <f t="shared" si="29"/>
        <v/>
      </c>
      <c r="Q112" t="str">
        <f t="shared" si="30"/>
        <v/>
      </c>
    </row>
    <row r="113" spans="1:17" x14ac:dyDescent="0.25">
      <c r="A113" s="186" t="str">
        <f>IF(109&lt;='入力 Inputs'!$B$86,109,"")</f>
        <v/>
      </c>
      <c r="B113" s="187" t="str">
        <f>IF(A113="","",'入力 Inputs'!$B$55+A113)</f>
        <v/>
      </c>
      <c r="C113" s="43" t="str">
        <f t="shared" si="31"/>
        <v/>
      </c>
      <c r="D113" s="43" t="str">
        <f>IF(A113="","",(D112-D112*'入力 Inputs'!$B$41-'入力 Inputs'!$B$57*(1+'入力 Inputs'!$B$91)^(109-1))*(1+'入力 Inputs'!$B$83))</f>
        <v/>
      </c>
      <c r="E113" s="43" t="str" cm="1">
        <f t="array" ref="E113">IF(A113="","",IF(A113&lt;=10,D113*(1-INDEX('入力 Inputs'!$B$71:$B$80,A113)),D113))</f>
        <v/>
      </c>
      <c r="F113" s="43" t="str">
        <f t="shared" si="24"/>
        <v/>
      </c>
      <c r="G113" s="43" t="str">
        <f>IF(A113="","",(G112-G112*'入力 Inputs'!$B$41-'入力 Inputs'!$B$57*(1+'入力 Inputs'!$B$91)^(109-1))*(1+'入力 Inputs'!$B$84))</f>
        <v/>
      </c>
      <c r="H113" s="43" t="str" cm="1">
        <f t="array" ref="H113">IF(A113="","",IF(A113&lt;=10,G113*(1-INDEX('入力 Inputs'!$B$71:$B$80,A113)),G113))</f>
        <v/>
      </c>
      <c r="I113" s="43" t="str">
        <f t="shared" si="25"/>
        <v/>
      </c>
      <c r="J113" s="43" t="str">
        <f>IF(A113="","",(J112-J112*'入力 Inputs'!$B$41-'入力 Inputs'!$B$57*(1+'入力 Inputs'!$B$91)^(109-1))*(1+'入力 Inputs'!$B$85))</f>
        <v/>
      </c>
      <c r="K113" s="43" t="str" cm="1">
        <f t="array" ref="K113">IF(A113="","",IF(A113&lt;=10,J113*(1-INDEX('入力 Inputs'!$B$71:$B$80,A113)),J113))</f>
        <v/>
      </c>
      <c r="L113" s="43" t="str">
        <f t="shared" si="26"/>
        <v/>
      </c>
      <c r="M113" s="170" t="str">
        <f>IF(A113="","",D113*'入力 Inputs'!$B$64)</f>
        <v/>
      </c>
      <c r="N113" t="str">
        <f t="shared" si="27"/>
        <v/>
      </c>
      <c r="O113" t="str">
        <f t="shared" si="28"/>
        <v/>
      </c>
      <c r="P113" t="str">
        <f t="shared" si="29"/>
        <v/>
      </c>
      <c r="Q113" t="str">
        <f t="shared" si="30"/>
        <v/>
      </c>
    </row>
    <row r="114" spans="1:17" x14ac:dyDescent="0.25">
      <c r="A114" s="186" t="str">
        <f>IF(110&lt;='入力 Inputs'!$B$86,110,"")</f>
        <v/>
      </c>
      <c r="B114" s="187" t="str">
        <f>IF(A114="","",'入力 Inputs'!$B$55+A114)</f>
        <v/>
      </c>
      <c r="C114" s="43" t="str">
        <f t="shared" si="31"/>
        <v/>
      </c>
      <c r="D114" s="43" t="str">
        <f>IF(A114="","",(D113-D113*'入力 Inputs'!$B$41-'入力 Inputs'!$B$57*(1+'入力 Inputs'!$B$91)^(110-1))*(1+'入力 Inputs'!$B$83))</f>
        <v/>
      </c>
      <c r="E114" s="43" t="str" cm="1">
        <f t="array" ref="E114">IF(A114="","",IF(A114&lt;=10,D114*(1-INDEX('入力 Inputs'!$B$71:$B$80,A114)),D114))</f>
        <v/>
      </c>
      <c r="F114" s="43" t="str">
        <f t="shared" si="24"/>
        <v/>
      </c>
      <c r="G114" s="43" t="str">
        <f>IF(A114="","",(G113-G113*'入力 Inputs'!$B$41-'入力 Inputs'!$B$57*(1+'入力 Inputs'!$B$91)^(110-1))*(1+'入力 Inputs'!$B$84))</f>
        <v/>
      </c>
      <c r="H114" s="43" t="str" cm="1">
        <f t="array" ref="H114">IF(A114="","",IF(A114&lt;=10,G114*(1-INDEX('入力 Inputs'!$B$71:$B$80,A114)),G114))</f>
        <v/>
      </c>
      <c r="I114" s="43" t="str">
        <f t="shared" si="25"/>
        <v/>
      </c>
      <c r="J114" s="43" t="str">
        <f>IF(A114="","",(J113-J113*'入力 Inputs'!$B$41-'入力 Inputs'!$B$57*(1+'入力 Inputs'!$B$91)^(110-1))*(1+'入力 Inputs'!$B$85))</f>
        <v/>
      </c>
      <c r="K114" s="43" t="str" cm="1">
        <f t="array" ref="K114">IF(A114="","",IF(A114&lt;=10,J114*(1-INDEX('入力 Inputs'!$B$71:$B$80,A114)),J114))</f>
        <v/>
      </c>
      <c r="L114" s="43" t="str">
        <f t="shared" si="26"/>
        <v/>
      </c>
      <c r="M114" s="170" t="str">
        <f>IF(A114="","",D114*'入力 Inputs'!$B$64)</f>
        <v/>
      </c>
      <c r="N114" t="str">
        <f t="shared" si="27"/>
        <v/>
      </c>
      <c r="O114" t="str">
        <f t="shared" si="28"/>
        <v/>
      </c>
      <c r="P114" t="str">
        <f t="shared" si="29"/>
        <v/>
      </c>
      <c r="Q114" t="str">
        <f t="shared" si="30"/>
        <v/>
      </c>
    </row>
    <row r="115" spans="1:17" x14ac:dyDescent="0.25">
      <c r="A115" s="186" t="str">
        <f>IF(111&lt;='入力 Inputs'!$B$86,111,"")</f>
        <v/>
      </c>
      <c r="B115" s="187" t="str">
        <f>IF(A115="","",'入力 Inputs'!$B$55+A115)</f>
        <v/>
      </c>
      <c r="C115" s="43" t="str">
        <f t="shared" si="31"/>
        <v/>
      </c>
      <c r="D115" s="43" t="str">
        <f>IF(A115="","",(D114-D114*'入力 Inputs'!$B$41-'入力 Inputs'!$B$57*(1+'入力 Inputs'!$B$91)^(111-1))*(1+'入力 Inputs'!$B$83))</f>
        <v/>
      </c>
      <c r="E115" s="43" t="str" cm="1">
        <f t="array" ref="E115">IF(A115="","",IF(A115&lt;=10,D115*(1-INDEX('入力 Inputs'!$B$71:$B$80,A115)),D115))</f>
        <v/>
      </c>
      <c r="F115" s="43" t="str">
        <f t="shared" si="24"/>
        <v/>
      </c>
      <c r="G115" s="43" t="str">
        <f>IF(A115="","",(G114-G114*'入力 Inputs'!$B$41-'入力 Inputs'!$B$57*(1+'入力 Inputs'!$B$91)^(111-1))*(1+'入力 Inputs'!$B$84))</f>
        <v/>
      </c>
      <c r="H115" s="43" t="str" cm="1">
        <f t="array" ref="H115">IF(A115="","",IF(A115&lt;=10,G115*(1-INDEX('入力 Inputs'!$B$71:$B$80,A115)),G115))</f>
        <v/>
      </c>
      <c r="I115" s="43" t="str">
        <f t="shared" si="25"/>
        <v/>
      </c>
      <c r="J115" s="43" t="str">
        <f>IF(A115="","",(J114-J114*'入力 Inputs'!$B$41-'入力 Inputs'!$B$57*(1+'入力 Inputs'!$B$91)^(111-1))*(1+'入力 Inputs'!$B$85))</f>
        <v/>
      </c>
      <c r="K115" s="43" t="str" cm="1">
        <f t="array" ref="K115">IF(A115="","",IF(A115&lt;=10,J115*(1-INDEX('入力 Inputs'!$B$71:$B$80,A115)),J115))</f>
        <v/>
      </c>
      <c r="L115" s="43" t="str">
        <f t="shared" si="26"/>
        <v/>
      </c>
      <c r="M115" s="170" t="str">
        <f>IF(A115="","",D115*'入力 Inputs'!$B$64)</f>
        <v/>
      </c>
      <c r="N115" t="str">
        <f t="shared" si="27"/>
        <v/>
      </c>
      <c r="O115" t="str">
        <f t="shared" si="28"/>
        <v/>
      </c>
      <c r="P115" t="str">
        <f t="shared" si="29"/>
        <v/>
      </c>
      <c r="Q115" t="str">
        <f t="shared" si="30"/>
        <v/>
      </c>
    </row>
    <row r="116" spans="1:17" x14ac:dyDescent="0.25">
      <c r="A116" s="186" t="str">
        <f>IF(112&lt;='入力 Inputs'!$B$86,112,"")</f>
        <v/>
      </c>
      <c r="B116" s="187" t="str">
        <f>IF(A116="","",'入力 Inputs'!$B$55+A116)</f>
        <v/>
      </c>
      <c r="C116" s="43" t="str">
        <f t="shared" si="31"/>
        <v/>
      </c>
      <c r="D116" s="43" t="str">
        <f>IF(A116="","",(D115-D115*'入力 Inputs'!$B$41-'入力 Inputs'!$B$57*(1+'入力 Inputs'!$B$91)^(112-1))*(1+'入力 Inputs'!$B$83))</f>
        <v/>
      </c>
      <c r="E116" s="43" t="str" cm="1">
        <f t="array" ref="E116">IF(A116="","",IF(A116&lt;=10,D116*(1-INDEX('入力 Inputs'!$B$71:$B$80,A116)),D116))</f>
        <v/>
      </c>
      <c r="F116" s="43" t="str">
        <f t="shared" si="24"/>
        <v/>
      </c>
      <c r="G116" s="43" t="str">
        <f>IF(A116="","",(G115-G115*'入力 Inputs'!$B$41-'入力 Inputs'!$B$57*(1+'入力 Inputs'!$B$91)^(112-1))*(1+'入力 Inputs'!$B$84))</f>
        <v/>
      </c>
      <c r="H116" s="43" t="str" cm="1">
        <f t="array" ref="H116">IF(A116="","",IF(A116&lt;=10,G116*(1-INDEX('入力 Inputs'!$B$71:$B$80,A116)),G116))</f>
        <v/>
      </c>
      <c r="I116" s="43" t="str">
        <f t="shared" si="25"/>
        <v/>
      </c>
      <c r="J116" s="43" t="str">
        <f>IF(A116="","",(J115-J115*'入力 Inputs'!$B$41-'入力 Inputs'!$B$57*(1+'入力 Inputs'!$B$91)^(112-1))*(1+'入力 Inputs'!$B$85))</f>
        <v/>
      </c>
      <c r="K116" s="43" t="str" cm="1">
        <f t="array" ref="K116">IF(A116="","",IF(A116&lt;=10,J116*(1-INDEX('入力 Inputs'!$B$71:$B$80,A116)),J116))</f>
        <v/>
      </c>
      <c r="L116" s="43" t="str">
        <f t="shared" si="26"/>
        <v/>
      </c>
      <c r="M116" s="170" t="str">
        <f>IF(A116="","",D116*'入力 Inputs'!$B$64)</f>
        <v/>
      </c>
      <c r="N116" t="str">
        <f t="shared" si="27"/>
        <v/>
      </c>
      <c r="O116" t="str">
        <f t="shared" si="28"/>
        <v/>
      </c>
      <c r="P116" t="str">
        <f t="shared" si="29"/>
        <v/>
      </c>
      <c r="Q116" t="str">
        <f t="shared" si="30"/>
        <v/>
      </c>
    </row>
    <row r="117" spans="1:17" x14ac:dyDescent="0.25">
      <c r="A117" s="186" t="str">
        <f>IF(113&lt;='入力 Inputs'!$B$86,113,"")</f>
        <v/>
      </c>
      <c r="B117" s="187" t="str">
        <f>IF(A117="","",'入力 Inputs'!$B$55+A117)</f>
        <v/>
      </c>
      <c r="C117" s="43" t="str">
        <f t="shared" si="31"/>
        <v/>
      </c>
      <c r="D117" s="43" t="str">
        <f>IF(A117="","",(D116-D116*'入力 Inputs'!$B$41-'入力 Inputs'!$B$57*(1+'入力 Inputs'!$B$91)^(113-1))*(1+'入力 Inputs'!$B$83))</f>
        <v/>
      </c>
      <c r="E117" s="43" t="str" cm="1">
        <f t="array" ref="E117">IF(A117="","",IF(A117&lt;=10,D117*(1-INDEX('入力 Inputs'!$B$71:$B$80,A117)),D117))</f>
        <v/>
      </c>
      <c r="F117" s="43" t="str">
        <f t="shared" si="24"/>
        <v/>
      </c>
      <c r="G117" s="43" t="str">
        <f>IF(A117="","",(G116-G116*'入力 Inputs'!$B$41-'入力 Inputs'!$B$57*(1+'入力 Inputs'!$B$91)^(113-1))*(1+'入力 Inputs'!$B$84))</f>
        <v/>
      </c>
      <c r="H117" s="43" t="str" cm="1">
        <f t="array" ref="H117">IF(A117="","",IF(A117&lt;=10,G117*(1-INDEX('入力 Inputs'!$B$71:$B$80,A117)),G117))</f>
        <v/>
      </c>
      <c r="I117" s="43" t="str">
        <f t="shared" si="25"/>
        <v/>
      </c>
      <c r="J117" s="43" t="str">
        <f>IF(A117="","",(J116-J116*'入力 Inputs'!$B$41-'入力 Inputs'!$B$57*(1+'入力 Inputs'!$B$91)^(113-1))*(1+'入力 Inputs'!$B$85))</f>
        <v/>
      </c>
      <c r="K117" s="43" t="str" cm="1">
        <f t="array" ref="K117">IF(A117="","",IF(A117&lt;=10,J117*(1-INDEX('入力 Inputs'!$B$71:$B$80,A117)),J117))</f>
        <v/>
      </c>
      <c r="L117" s="43" t="str">
        <f t="shared" si="26"/>
        <v/>
      </c>
      <c r="M117" s="170" t="str">
        <f>IF(A117="","",D117*'入力 Inputs'!$B$64)</f>
        <v/>
      </c>
      <c r="N117" t="str">
        <f t="shared" si="27"/>
        <v/>
      </c>
      <c r="O117" t="str">
        <f t="shared" si="28"/>
        <v/>
      </c>
      <c r="P117" t="str">
        <f t="shared" si="29"/>
        <v/>
      </c>
      <c r="Q117" t="str">
        <f t="shared" si="30"/>
        <v/>
      </c>
    </row>
    <row r="118" spans="1:17" x14ac:dyDescent="0.25">
      <c r="A118" s="186" t="str">
        <f>IF(114&lt;='入力 Inputs'!$B$86,114,"")</f>
        <v/>
      </c>
      <c r="B118" s="187" t="str">
        <f>IF(A118="","",'入力 Inputs'!$B$55+A118)</f>
        <v/>
      </c>
      <c r="C118" s="43" t="str">
        <f t="shared" si="31"/>
        <v/>
      </c>
      <c r="D118" s="43" t="str">
        <f>IF(A118="","",(D117-D117*'入力 Inputs'!$B$41-'入力 Inputs'!$B$57*(1+'入力 Inputs'!$B$91)^(114-1))*(1+'入力 Inputs'!$B$83))</f>
        <v/>
      </c>
      <c r="E118" s="43" t="str" cm="1">
        <f t="array" ref="E118">IF(A118="","",IF(A118&lt;=10,D118*(1-INDEX('入力 Inputs'!$B$71:$B$80,A118)),D118))</f>
        <v/>
      </c>
      <c r="F118" s="43" t="str">
        <f t="shared" si="24"/>
        <v/>
      </c>
      <c r="G118" s="43" t="str">
        <f>IF(A118="","",(G117-G117*'入力 Inputs'!$B$41-'入力 Inputs'!$B$57*(1+'入力 Inputs'!$B$91)^(114-1))*(1+'入力 Inputs'!$B$84))</f>
        <v/>
      </c>
      <c r="H118" s="43" t="str" cm="1">
        <f t="array" ref="H118">IF(A118="","",IF(A118&lt;=10,G118*(1-INDEX('入力 Inputs'!$B$71:$B$80,A118)),G118))</f>
        <v/>
      </c>
      <c r="I118" s="43" t="str">
        <f t="shared" si="25"/>
        <v/>
      </c>
      <c r="J118" s="43" t="str">
        <f>IF(A118="","",(J117-J117*'入力 Inputs'!$B$41-'入力 Inputs'!$B$57*(1+'入力 Inputs'!$B$91)^(114-1))*(1+'入力 Inputs'!$B$85))</f>
        <v/>
      </c>
      <c r="K118" s="43" t="str" cm="1">
        <f t="array" ref="K118">IF(A118="","",IF(A118&lt;=10,J118*(1-INDEX('入力 Inputs'!$B$71:$B$80,A118)),J118))</f>
        <v/>
      </c>
      <c r="L118" s="43" t="str">
        <f t="shared" si="26"/>
        <v/>
      </c>
      <c r="M118" s="170" t="str">
        <f>IF(A118="","",D118*'入力 Inputs'!$B$64)</f>
        <v/>
      </c>
      <c r="N118" t="str">
        <f t="shared" si="27"/>
        <v/>
      </c>
      <c r="O118" t="str">
        <f t="shared" si="28"/>
        <v/>
      </c>
      <c r="P118" t="str">
        <f t="shared" si="29"/>
        <v/>
      </c>
      <c r="Q118" t="str">
        <f t="shared" si="30"/>
        <v/>
      </c>
    </row>
    <row r="119" spans="1:17" x14ac:dyDescent="0.25">
      <c r="A119" s="186" t="str">
        <f>IF(115&lt;='入力 Inputs'!$B$86,115,"")</f>
        <v/>
      </c>
      <c r="B119" s="187" t="str">
        <f>IF(A119="","",'入力 Inputs'!$B$55+A119)</f>
        <v/>
      </c>
      <c r="C119" s="43" t="str">
        <f t="shared" si="31"/>
        <v/>
      </c>
      <c r="D119" s="43" t="str">
        <f>IF(A119="","",(D118-D118*'入力 Inputs'!$B$41-'入力 Inputs'!$B$57*(1+'入力 Inputs'!$B$91)^(115-1))*(1+'入力 Inputs'!$B$83))</f>
        <v/>
      </c>
      <c r="E119" s="43" t="str" cm="1">
        <f t="array" ref="E119">IF(A119="","",IF(A119&lt;=10,D119*(1-INDEX('入力 Inputs'!$B$71:$B$80,A119)),D119))</f>
        <v/>
      </c>
      <c r="F119" s="43" t="str">
        <f t="shared" si="24"/>
        <v/>
      </c>
      <c r="G119" s="43" t="str">
        <f>IF(A119="","",(G118-G118*'入力 Inputs'!$B$41-'入力 Inputs'!$B$57*(1+'入力 Inputs'!$B$91)^(115-1))*(1+'入力 Inputs'!$B$84))</f>
        <v/>
      </c>
      <c r="H119" s="43" t="str" cm="1">
        <f t="array" ref="H119">IF(A119="","",IF(A119&lt;=10,G119*(1-INDEX('入力 Inputs'!$B$71:$B$80,A119)),G119))</f>
        <v/>
      </c>
      <c r="I119" s="43" t="str">
        <f t="shared" si="25"/>
        <v/>
      </c>
      <c r="J119" s="43" t="str">
        <f>IF(A119="","",(J118-J118*'入力 Inputs'!$B$41-'入力 Inputs'!$B$57*(1+'入力 Inputs'!$B$91)^(115-1))*(1+'入力 Inputs'!$B$85))</f>
        <v/>
      </c>
      <c r="K119" s="43" t="str" cm="1">
        <f t="array" ref="K119">IF(A119="","",IF(A119&lt;=10,J119*(1-INDEX('入力 Inputs'!$B$71:$B$80,A119)),J119))</f>
        <v/>
      </c>
      <c r="L119" s="43" t="str">
        <f t="shared" si="26"/>
        <v/>
      </c>
      <c r="M119" s="170" t="str">
        <f>IF(A119="","",D119*'入力 Inputs'!$B$64)</f>
        <v/>
      </c>
      <c r="N119" t="str">
        <f t="shared" si="27"/>
        <v/>
      </c>
      <c r="O119" t="str">
        <f t="shared" si="28"/>
        <v/>
      </c>
      <c r="P119" t="str">
        <f t="shared" si="29"/>
        <v/>
      </c>
      <c r="Q119" t="str">
        <f t="shared" si="30"/>
        <v/>
      </c>
    </row>
    <row r="120" spans="1:17" x14ac:dyDescent="0.25">
      <c r="A120" s="186" t="str">
        <f>IF(116&lt;='入力 Inputs'!$B$86,116,"")</f>
        <v/>
      </c>
      <c r="B120" s="187" t="str">
        <f>IF(A120="","",'入力 Inputs'!$B$55+A120)</f>
        <v/>
      </c>
      <c r="C120" s="43" t="str">
        <f t="shared" si="31"/>
        <v/>
      </c>
      <c r="D120" s="43" t="str">
        <f>IF(A120="","",(D119-D119*'入力 Inputs'!$B$41-'入力 Inputs'!$B$57*(1+'入力 Inputs'!$B$91)^(116-1))*(1+'入力 Inputs'!$B$83))</f>
        <v/>
      </c>
      <c r="E120" s="43" t="str" cm="1">
        <f t="array" ref="E120">IF(A120="","",IF(A120&lt;=10,D120*(1-INDEX('入力 Inputs'!$B$71:$B$80,A120)),D120))</f>
        <v/>
      </c>
      <c r="F120" s="43" t="str">
        <f t="shared" si="24"/>
        <v/>
      </c>
      <c r="G120" s="43" t="str">
        <f>IF(A120="","",(G119-G119*'入力 Inputs'!$B$41-'入力 Inputs'!$B$57*(1+'入力 Inputs'!$B$91)^(116-1))*(1+'入力 Inputs'!$B$84))</f>
        <v/>
      </c>
      <c r="H120" s="43" t="str" cm="1">
        <f t="array" ref="H120">IF(A120="","",IF(A120&lt;=10,G120*(1-INDEX('入力 Inputs'!$B$71:$B$80,A120)),G120))</f>
        <v/>
      </c>
      <c r="I120" s="43" t="str">
        <f t="shared" si="25"/>
        <v/>
      </c>
      <c r="J120" s="43" t="str">
        <f>IF(A120="","",(J119-J119*'入力 Inputs'!$B$41-'入力 Inputs'!$B$57*(1+'入力 Inputs'!$B$91)^(116-1))*(1+'入力 Inputs'!$B$85))</f>
        <v/>
      </c>
      <c r="K120" s="43" t="str" cm="1">
        <f t="array" ref="K120">IF(A120="","",IF(A120&lt;=10,J120*(1-INDEX('入力 Inputs'!$B$71:$B$80,A120)),J120))</f>
        <v/>
      </c>
      <c r="L120" s="43" t="str">
        <f t="shared" si="26"/>
        <v/>
      </c>
      <c r="M120" s="170" t="str">
        <f>IF(A120="","",D120*'入力 Inputs'!$B$64)</f>
        <v/>
      </c>
      <c r="N120" t="str">
        <f t="shared" si="27"/>
        <v/>
      </c>
      <c r="O120" t="str">
        <f t="shared" si="28"/>
        <v/>
      </c>
      <c r="P120" t="str">
        <f t="shared" si="29"/>
        <v/>
      </c>
      <c r="Q120" t="str">
        <f t="shared" si="30"/>
        <v/>
      </c>
    </row>
    <row r="121" spans="1:17" x14ac:dyDescent="0.25">
      <c r="A121" s="186" t="str">
        <f>IF(117&lt;='入力 Inputs'!$B$86,117,"")</f>
        <v/>
      </c>
      <c r="B121" s="187" t="str">
        <f>IF(A121="","",'入力 Inputs'!$B$55+A121)</f>
        <v/>
      </c>
      <c r="C121" s="43" t="str">
        <f t="shared" si="31"/>
        <v/>
      </c>
      <c r="D121" s="43" t="str">
        <f>IF(A121="","",(D120-D120*'入力 Inputs'!$B$41-'入力 Inputs'!$B$57*(1+'入力 Inputs'!$B$91)^(117-1))*(1+'入力 Inputs'!$B$83))</f>
        <v/>
      </c>
      <c r="E121" s="43" t="str" cm="1">
        <f t="array" ref="E121">IF(A121="","",IF(A121&lt;=10,D121*(1-INDEX('入力 Inputs'!$B$71:$B$80,A121)),D121))</f>
        <v/>
      </c>
      <c r="F121" s="43" t="str">
        <f t="shared" si="24"/>
        <v/>
      </c>
      <c r="G121" s="43" t="str">
        <f>IF(A121="","",(G120-G120*'入力 Inputs'!$B$41-'入力 Inputs'!$B$57*(1+'入力 Inputs'!$B$91)^(117-1))*(1+'入力 Inputs'!$B$84))</f>
        <v/>
      </c>
      <c r="H121" s="43" t="str" cm="1">
        <f t="array" ref="H121">IF(A121="","",IF(A121&lt;=10,G121*(1-INDEX('入力 Inputs'!$B$71:$B$80,A121)),G121))</f>
        <v/>
      </c>
      <c r="I121" s="43" t="str">
        <f t="shared" si="25"/>
        <v/>
      </c>
      <c r="J121" s="43" t="str">
        <f>IF(A121="","",(J120-J120*'入力 Inputs'!$B$41-'入力 Inputs'!$B$57*(1+'入力 Inputs'!$B$91)^(117-1))*(1+'入力 Inputs'!$B$85))</f>
        <v/>
      </c>
      <c r="K121" s="43" t="str" cm="1">
        <f t="array" ref="K121">IF(A121="","",IF(A121&lt;=10,J121*(1-INDEX('入力 Inputs'!$B$71:$B$80,A121)),J121))</f>
        <v/>
      </c>
      <c r="L121" s="43" t="str">
        <f t="shared" si="26"/>
        <v/>
      </c>
      <c r="M121" s="170" t="str">
        <f>IF(A121="","",D121*'入力 Inputs'!$B$64)</f>
        <v/>
      </c>
      <c r="N121" t="str">
        <f t="shared" si="27"/>
        <v/>
      </c>
      <c r="O121" t="str">
        <f t="shared" si="28"/>
        <v/>
      </c>
      <c r="P121" t="str">
        <f t="shared" si="29"/>
        <v/>
      </c>
      <c r="Q121" t="str">
        <f t="shared" si="30"/>
        <v/>
      </c>
    </row>
    <row r="122" spans="1:17" x14ac:dyDescent="0.25">
      <c r="A122" s="186" t="str">
        <f>IF(118&lt;='入力 Inputs'!$B$86,118,"")</f>
        <v/>
      </c>
      <c r="B122" s="187" t="str">
        <f>IF(A122="","",'入力 Inputs'!$B$55+A122)</f>
        <v/>
      </c>
      <c r="C122" s="43" t="str">
        <f t="shared" si="31"/>
        <v/>
      </c>
      <c r="D122" s="43" t="str">
        <f>IF(A122="","",(D121-D121*'入力 Inputs'!$B$41-'入力 Inputs'!$B$57*(1+'入力 Inputs'!$B$91)^(118-1))*(1+'入力 Inputs'!$B$83))</f>
        <v/>
      </c>
      <c r="E122" s="43" t="str" cm="1">
        <f t="array" ref="E122">IF(A122="","",IF(A122&lt;=10,D122*(1-INDEX('入力 Inputs'!$B$71:$B$80,A122)),D122))</f>
        <v/>
      </c>
      <c r="F122" s="43" t="str">
        <f t="shared" si="24"/>
        <v/>
      </c>
      <c r="G122" s="43" t="str">
        <f>IF(A122="","",(G121-G121*'入力 Inputs'!$B$41-'入力 Inputs'!$B$57*(1+'入力 Inputs'!$B$91)^(118-1))*(1+'入力 Inputs'!$B$84))</f>
        <v/>
      </c>
      <c r="H122" s="43" t="str" cm="1">
        <f t="array" ref="H122">IF(A122="","",IF(A122&lt;=10,G122*(1-INDEX('入力 Inputs'!$B$71:$B$80,A122)),G122))</f>
        <v/>
      </c>
      <c r="I122" s="43" t="str">
        <f t="shared" si="25"/>
        <v/>
      </c>
      <c r="J122" s="43" t="str">
        <f>IF(A122="","",(J121-J121*'入力 Inputs'!$B$41-'入力 Inputs'!$B$57*(1+'入力 Inputs'!$B$91)^(118-1))*(1+'入力 Inputs'!$B$85))</f>
        <v/>
      </c>
      <c r="K122" s="43" t="str" cm="1">
        <f t="array" ref="K122">IF(A122="","",IF(A122&lt;=10,J122*(1-INDEX('入力 Inputs'!$B$71:$B$80,A122)),J122))</f>
        <v/>
      </c>
      <c r="L122" s="43" t="str">
        <f t="shared" si="26"/>
        <v/>
      </c>
      <c r="M122" s="170" t="str">
        <f>IF(A122="","",D122*'入力 Inputs'!$B$64)</f>
        <v/>
      </c>
      <c r="N122" t="str">
        <f t="shared" si="27"/>
        <v/>
      </c>
      <c r="O122" t="str">
        <f t="shared" si="28"/>
        <v/>
      </c>
      <c r="P122" t="str">
        <f t="shared" si="29"/>
        <v/>
      </c>
      <c r="Q122" t="str">
        <f t="shared" si="30"/>
        <v/>
      </c>
    </row>
    <row r="123" spans="1:17" x14ac:dyDescent="0.25">
      <c r="A123" s="186" t="str">
        <f>IF(119&lt;='入力 Inputs'!$B$86,119,"")</f>
        <v/>
      </c>
      <c r="B123" s="187" t="str">
        <f>IF(A123="","",'入力 Inputs'!$B$55+A123)</f>
        <v/>
      </c>
      <c r="C123" s="43" t="str">
        <f t="shared" si="31"/>
        <v/>
      </c>
      <c r="D123" s="43" t="str">
        <f>IF(A123="","",(D122-D122*'入力 Inputs'!$B$41-'入力 Inputs'!$B$57*(1+'入力 Inputs'!$B$91)^(119-1))*(1+'入力 Inputs'!$B$83))</f>
        <v/>
      </c>
      <c r="E123" s="43" t="str" cm="1">
        <f t="array" ref="E123">IF(A123="","",IF(A123&lt;=10,D123*(1-INDEX('入力 Inputs'!$B$71:$B$80,A123)),D123))</f>
        <v/>
      </c>
      <c r="F123" s="43" t="str">
        <f t="shared" si="24"/>
        <v/>
      </c>
      <c r="G123" s="43" t="str">
        <f>IF(A123="","",(G122-G122*'入力 Inputs'!$B$41-'入力 Inputs'!$B$57*(1+'入力 Inputs'!$B$91)^(119-1))*(1+'入力 Inputs'!$B$84))</f>
        <v/>
      </c>
      <c r="H123" s="43" t="str" cm="1">
        <f t="array" ref="H123">IF(A123="","",IF(A123&lt;=10,G123*(1-INDEX('入力 Inputs'!$B$71:$B$80,A123)),G123))</f>
        <v/>
      </c>
      <c r="I123" s="43" t="str">
        <f t="shared" si="25"/>
        <v/>
      </c>
      <c r="J123" s="43" t="str">
        <f>IF(A123="","",(J122-J122*'入力 Inputs'!$B$41-'入力 Inputs'!$B$57*(1+'入力 Inputs'!$B$91)^(119-1))*(1+'入力 Inputs'!$B$85))</f>
        <v/>
      </c>
      <c r="K123" s="43" t="str" cm="1">
        <f t="array" ref="K123">IF(A123="","",IF(A123&lt;=10,J123*(1-INDEX('入力 Inputs'!$B$71:$B$80,A123)),J123))</f>
        <v/>
      </c>
      <c r="L123" s="43" t="str">
        <f t="shared" si="26"/>
        <v/>
      </c>
      <c r="M123" s="170" t="str">
        <f>IF(A123="","",D123*'入力 Inputs'!$B$64)</f>
        <v/>
      </c>
      <c r="N123" t="str">
        <f t="shared" si="27"/>
        <v/>
      </c>
      <c r="O123" t="str">
        <f t="shared" si="28"/>
        <v/>
      </c>
      <c r="P123" t="str">
        <f t="shared" si="29"/>
        <v/>
      </c>
      <c r="Q123" t="str">
        <f t="shared" si="30"/>
        <v/>
      </c>
    </row>
    <row r="124" spans="1:17" x14ac:dyDescent="0.25">
      <c r="A124" s="186" t="str">
        <f>IF(120&lt;='入力 Inputs'!$B$86,120,"")</f>
        <v/>
      </c>
      <c r="B124" s="187" t="str">
        <f>IF(A124="","",'入力 Inputs'!$B$55+A124)</f>
        <v/>
      </c>
      <c r="C124" s="43" t="str">
        <f t="shared" si="31"/>
        <v/>
      </c>
      <c r="D124" s="43" t="str">
        <f>IF(A124="","",(D123-D123*'入力 Inputs'!$B$41-'入力 Inputs'!$B$57*(1+'入力 Inputs'!$B$91)^(120-1))*(1+'入力 Inputs'!$B$83))</f>
        <v/>
      </c>
      <c r="E124" s="43" t="str" cm="1">
        <f t="array" ref="E124">IF(A124="","",IF(A124&lt;=10,D124*(1-INDEX('入力 Inputs'!$B$71:$B$80,A124)),D124))</f>
        <v/>
      </c>
      <c r="F124" s="43" t="str">
        <f t="shared" si="24"/>
        <v/>
      </c>
      <c r="G124" s="43" t="str">
        <f>IF(A124="","",(G123-G123*'入力 Inputs'!$B$41-'入力 Inputs'!$B$57*(1+'入力 Inputs'!$B$91)^(120-1))*(1+'入力 Inputs'!$B$84))</f>
        <v/>
      </c>
      <c r="H124" s="43" t="str" cm="1">
        <f t="array" ref="H124">IF(A124="","",IF(A124&lt;=10,G124*(1-INDEX('入力 Inputs'!$B$71:$B$80,A124)),G124))</f>
        <v/>
      </c>
      <c r="I124" s="43" t="str">
        <f t="shared" si="25"/>
        <v/>
      </c>
      <c r="J124" s="43" t="str">
        <f>IF(A124="","",(J123-J123*'入力 Inputs'!$B$41-'入力 Inputs'!$B$57*(1+'入力 Inputs'!$B$91)^(120-1))*(1+'入力 Inputs'!$B$85))</f>
        <v/>
      </c>
      <c r="K124" s="43" t="str" cm="1">
        <f t="array" ref="K124">IF(A124="","",IF(A124&lt;=10,J124*(1-INDEX('入力 Inputs'!$B$71:$B$80,A124)),J124))</f>
        <v/>
      </c>
      <c r="L124" s="43" t="str">
        <f t="shared" si="26"/>
        <v/>
      </c>
      <c r="M124" s="170" t="str">
        <f>IF(A124="","",D124*'入力 Inputs'!$B$64)</f>
        <v/>
      </c>
      <c r="N124" t="str">
        <f t="shared" si="27"/>
        <v/>
      </c>
      <c r="O124" t="str">
        <f t="shared" si="28"/>
        <v/>
      </c>
      <c r="P124" t="str">
        <f t="shared" si="29"/>
        <v/>
      </c>
      <c r="Q124" t="str">
        <f t="shared" si="30"/>
        <v/>
      </c>
    </row>
    <row r="125" spans="1:17" x14ac:dyDescent="0.25">
      <c r="A125" s="186" t="str">
        <f>IF(121&lt;='入力 Inputs'!$B$86,121,"")</f>
        <v/>
      </c>
      <c r="B125" s="187" t="str">
        <f>IF(A125="","",'入力 Inputs'!$B$55+A125)</f>
        <v/>
      </c>
      <c r="C125" s="43" t="str">
        <f t="shared" si="31"/>
        <v/>
      </c>
      <c r="D125" s="43" t="str">
        <f>IF(A125="","",(D124-D124*'入力 Inputs'!$B$41-'入力 Inputs'!$B$57*(1+'入力 Inputs'!$B$91)^(121-1))*(1+'入力 Inputs'!$B$83))</f>
        <v/>
      </c>
      <c r="E125" s="43" t="str" cm="1">
        <f t="array" ref="E125">IF(A125="","",IF(A125&lt;=10,D125*(1-INDEX('入力 Inputs'!$B$71:$B$80,A125)),D125))</f>
        <v/>
      </c>
      <c r="F125" s="43" t="str">
        <f t="shared" si="24"/>
        <v/>
      </c>
      <c r="G125" s="43" t="str">
        <f>IF(A125="","",(G124-G124*'入力 Inputs'!$B$41-'入力 Inputs'!$B$57*(1+'入力 Inputs'!$B$91)^(121-1))*(1+'入力 Inputs'!$B$84))</f>
        <v/>
      </c>
      <c r="H125" s="43" t="str" cm="1">
        <f t="array" ref="H125">IF(A125="","",IF(A125&lt;=10,G125*(1-INDEX('入力 Inputs'!$B$71:$B$80,A125)),G125))</f>
        <v/>
      </c>
      <c r="I125" s="43" t="str">
        <f t="shared" si="25"/>
        <v/>
      </c>
      <c r="J125" s="43" t="str">
        <f>IF(A125="","",(J124-J124*'入力 Inputs'!$B$41-'入力 Inputs'!$B$57*(1+'入力 Inputs'!$B$91)^(121-1))*(1+'入力 Inputs'!$B$85))</f>
        <v/>
      </c>
      <c r="K125" s="43" t="str" cm="1">
        <f t="array" ref="K125">IF(A125="","",IF(A125&lt;=10,J125*(1-INDEX('入力 Inputs'!$B$71:$B$80,A125)),J125))</f>
        <v/>
      </c>
      <c r="L125" s="43" t="str">
        <f t="shared" si="26"/>
        <v/>
      </c>
      <c r="M125" s="170" t="str">
        <f>IF(A125="","",D125*'入力 Inputs'!$B$64)</f>
        <v/>
      </c>
      <c r="N125" t="str">
        <f t="shared" si="27"/>
        <v/>
      </c>
      <c r="O125" t="str">
        <f t="shared" si="28"/>
        <v/>
      </c>
      <c r="P125" t="str">
        <f t="shared" si="29"/>
        <v/>
      </c>
      <c r="Q125" t="str">
        <f t="shared" si="30"/>
        <v/>
      </c>
    </row>
    <row r="127" spans="1:17" x14ac:dyDescent="0.25">
      <c r="A127" s="168" t="str">
        <f>IF('入力 Inputs'!$F$1="English","BREAK-EVEN ANALYSIS",IF('入力 Inputs'!$F$1="日本語","損益分岐分析","損益分岐分析 / BREAK-EVEN ANALYSIS"))</f>
        <v>BREAK-EVEN ANALYSIS</v>
      </c>
      <c r="B127" s="168"/>
      <c r="C127" s="168"/>
      <c r="D127" s="168"/>
    </row>
    <row r="128" spans="1:17" ht="15.75" x14ac:dyDescent="0.25">
      <c r="A128" s="42" t="str">
        <f>IF('入力 Inputs'!$F$1="English","Year Fund Value Exceeds Deposit (Base)",IF('入力 Inputs'!$F$1="日本語","ファンド価値が預入額を超える年（基準率）","ファンド価値が預入額を超える年（基準率） / Year Fund Value Exceeds Deposit (Base)"))</f>
        <v>Year Fund Value Exceeds Deposit (Base)</v>
      </c>
      <c r="B128" s="211" cm="1">
        <f t="array" ref="B128">IFERROR(MATCH(TRUE,INDEX(D5:D125&gt;'入力 Inputs'!B7,0),0),"N/A")</f>
        <v>2</v>
      </c>
    </row>
    <row r="129" spans="1:2" ht="15.75" x14ac:dyDescent="0.25">
      <c r="A129" s="42" t="str">
        <f>IF('入力 Inputs'!$F$1="English","Year Surrender Value Exceeds Deposit (Base)",IF('入力 Inputs'!$F$1="日本語","解約返戻金が預入額を超える年（基準率）","解約返戻金が預入額を超える年（基準率） / Year Surrender Value Exceeds Deposit (Base)"))</f>
        <v>Year Surrender Value Exceeds Deposit (Base)</v>
      </c>
      <c r="B129" s="211" cm="1">
        <f t="array" ref="B129">IFERROR(MATCH(TRUE,INDEX(E5:E125&gt;'入力 Inputs'!B7,0),0),"N/A")</f>
        <v>6</v>
      </c>
    </row>
    <row r="130" spans="1:2" ht="15.75" x14ac:dyDescent="0.25">
      <c r="A130" s="42" t="str">
        <f>IF('入力 Inputs'!$F$1="English","Year Fund Value Exceeds Deposit (Alt 1)",IF('入力 Inputs'!$F$1="日本語","ファンド価値が預入額を超える年（代替1）","ファンド価値が預入額を超える年（代替1） / Year Fund Value Exceeds Deposit (Alt 1)"))</f>
        <v>Year Fund Value Exceeds Deposit (Alt 1)</v>
      </c>
      <c r="B130" s="211" cm="1">
        <f t="array" ref="B130">IFERROR(MATCH(TRUE,INDEX(G5:G125&gt;'入力 Inputs'!B7,0),0),"N/A")</f>
        <v>2</v>
      </c>
    </row>
    <row r="131" spans="1:2" ht="15.75" x14ac:dyDescent="0.25">
      <c r="A131" s="42" t="str">
        <f>IF('入力 Inputs'!$F$1="English","Year Surrender Value Exceeds Deposit (Alt 1)",IF('入力 Inputs'!$F$1="日本語","解約返戻金が預入額を超える年（代替1）","解約返戻金が預入額を超える年（代替1） / Year Surrender Value Exceeds Deposit (Alt 1)"))</f>
        <v>Year Surrender Value Exceeds Deposit (Alt 1)</v>
      </c>
      <c r="B131" s="211" cm="1">
        <f t="array" ref="B131">IFERROR(MATCH(TRUE,INDEX(H5:H125&gt;'入力 Inputs'!B7,0),0),"N/A")</f>
        <v>6</v>
      </c>
    </row>
    <row r="132" spans="1:2" ht="15.75" x14ac:dyDescent="0.25">
      <c r="A132" s="42" t="str">
        <f>IF('入力 Inputs'!$F$1="English","Year Fund Value Exceeds Deposit (Alt 2)",IF('入力 Inputs'!$F$1="日本語","ファンド価値が預入額を超える年（代替2）","ファンド価値が預入額を超える年（代替2） / Year Fund Value Exceeds Deposit (Alt 2)"))</f>
        <v>Year Fund Value Exceeds Deposit (Alt 2)</v>
      </c>
      <c r="B132" s="211" cm="1">
        <f t="array" ref="B132">IFERROR(MATCH(TRUE,INDEX(J5:J125&gt;'入力 Inputs'!B7,0),0),"N/A")</f>
        <v>2</v>
      </c>
    </row>
    <row r="133" spans="1:2" ht="15.75" x14ac:dyDescent="0.25">
      <c r="A133" s="42" t="str">
        <f>IF('入力 Inputs'!$F$1="English","Year Surrender Value Exceeds Deposit (Alt 2)",IF('入力 Inputs'!$F$1="日本語","解約返戻金が預入額を超える年（代替2）","解約返戻金が預入額を超える年（代替2） / Year Surrender Value Exceeds Deposit (Alt 2)"))</f>
        <v>Year Surrender Value Exceeds Deposit (Alt 2)</v>
      </c>
      <c r="B133" s="211" cm="1">
        <f t="array" ref="B133">IFERROR(MATCH(TRUE,INDEX(K5:K125&gt;'入力 Inputs'!B7,0),0),"N/A")</f>
        <v>6</v>
      </c>
    </row>
  </sheetData>
  <conditionalFormatting sqref="E5:E14">
    <cfRule type="expression" dxfId="2" priority="1">
      <formula>AND($A5&lt;&gt;"", $A5&lt;=5)</formula>
    </cfRule>
  </conditionalFormatting>
  <conditionalFormatting sqref="H5:H14">
    <cfRule type="expression" dxfId="1" priority="2">
      <formula>AND($A5&lt;&gt;"", $A5&lt;=5)</formula>
    </cfRule>
  </conditionalFormatting>
  <conditionalFormatting sqref="K5:K14">
    <cfRule type="expression" dxfId="0" priority="3">
      <formula>AND($A5&lt;&gt;"", $A5&lt;=5)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5BB9-D35F-40AD-AB39-AD597EE18152}">
  <dimension ref="A1:L51"/>
  <sheetViews>
    <sheetView workbookViewId="0">
      <selection activeCell="D22" sqref="D22"/>
    </sheetView>
  </sheetViews>
  <sheetFormatPr defaultRowHeight="15" x14ac:dyDescent="0.25"/>
  <cols>
    <col min="1" max="1" width="49.5703125" customWidth="1"/>
    <col min="2" max="12" width="27.5703125" customWidth="1"/>
  </cols>
  <sheetData>
    <row r="1" spans="1:12" ht="18" x14ac:dyDescent="0.25">
      <c r="A1" s="280" t="str">
        <f>IF('入力 Inputs'!$F$1="English","PPVA TAX IMPACT ANALYSIS",IF('入力 Inputs'!$F$1="日本語","PPVA税金への影響分析","PPVA税金への影響分析 / PPVA TAX IMPACT ANALYSIS"))</f>
        <v>PPVA TAX IMPACT ANALYSIS</v>
      </c>
      <c r="B1" s="279" t="s">
        <v>143</v>
      </c>
      <c r="C1" s="279" t="s">
        <v>144</v>
      </c>
    </row>
    <row r="2" spans="1:12" x14ac:dyDescent="0.25">
      <c r="A2" s="4" t="str">
        <f>IF('入力 Inputs'!$F$1="English","All values pull from Inputs. Current portfolio vs. new PPVA tax impact.",IF('入力 Inputs'!$F$1="日本語","全ての値は入力シートから取得。現行ポートフォリオとPPVAの税金影響を比較","全ての値は入力シートから取得。現行ポートフォリオとPPVAの税金影響を比較 / All values pull from Inputs. Current portfolio vs. new PPVA tax impact."))</f>
        <v>All values pull from Inputs. Current portfolio vs. new PPVA tax impact.</v>
      </c>
    </row>
    <row r="4" spans="1:12" x14ac:dyDescent="0.25">
      <c r="A4" s="168" t="str">
        <f>IF('入力 Inputs'!$F$1="English","CURRENT POSITION (Without New PPVA)",IF('入力 Inputs'!$F$1="日本語","現在のポジション（新規PPVAなし）","現在のポジション（新規PPVAなし） / CURRENT POSITION (Without New PPVA)"))</f>
        <v>CURRENT POSITION (Without New PPVA)</v>
      </c>
      <c r="B4" s="35"/>
      <c r="C4" s="35"/>
      <c r="D4" s="35"/>
      <c r="E4" s="35"/>
    </row>
    <row r="5" spans="1:12" x14ac:dyDescent="0.25">
      <c r="A5" s="146" t="str">
        <f>IF('入力 Inputs'!$F$1="English","Current CSV (USD)",IF('入力 Inputs'!$F$1="日本語","現行解約返戻金（米ドル）","現行解約返戻金（米ドル） / Current CSV (USD)"))</f>
        <v>Current CSV (USD)</v>
      </c>
      <c r="B5" s="167">
        <f>'入力 Inputs'!B60</f>
        <v>18963106</v>
      </c>
      <c r="D5" s="146" t="str">
        <f>IF('入力 Inputs'!$F$1="English","Current CSV (JPY)",IF('入力 Inputs'!$F$1="日本語","現行解約返戻金（円）","現行解約返戻金（円） / Current CSV (JPY)"))</f>
        <v>Current CSV (JPY)</v>
      </c>
      <c r="E5" s="169">
        <f>B5*'入力 Inputs'!B63</f>
        <v>2844465900</v>
      </c>
    </row>
    <row r="6" spans="1:12" x14ac:dyDescent="0.25">
      <c r="A6" s="146" t="str">
        <f>IF('入力 Inputs'!$F$1="English","Basis (USD)",IF('入力 Inputs'!$F$1="日本語","基準額（米ドル）","基準額（米ドル） / Basis (USD)"))</f>
        <v>Basis (USD)</v>
      </c>
      <c r="B6" s="167">
        <f>'入力 Inputs'!B61</f>
        <v>16195676</v>
      </c>
      <c r="D6" s="146" t="str">
        <f>IF('入力 Inputs'!$F$1="English","Basis (JPY)",IF('入力 Inputs'!$F$1="日本語","基準額（円）","基準額（円） / Basis (JPY)"))</f>
        <v>Basis (JPY)</v>
      </c>
      <c r="E6" s="169">
        <f>'入力 Inputs'!B67</f>
        <v>1781524360</v>
      </c>
    </row>
    <row r="7" spans="1:12" x14ac:dyDescent="0.25">
      <c r="A7" s="146" t="str">
        <f>IF('入力 Inputs'!$F$1="English","Gain (USD)",IF('入力 Inputs'!$F$1="日本語","利益（米ドル）","利益（米ドル） / Gain (USD)"))</f>
        <v>Gain (USD)</v>
      </c>
      <c r="B7" s="167">
        <f>B5-B6</f>
        <v>2767430</v>
      </c>
      <c r="D7" s="146" t="str">
        <f>IF('入力 Inputs'!$F$1="English","Gain (JPY)",IF('入力 Inputs'!$F$1="日本語","利益（円）","利益（円） / Gain (JPY)"))</f>
        <v>Gain (JPY)</v>
      </c>
      <c r="E7" s="169">
        <f>E5-E6</f>
        <v>1062941540</v>
      </c>
    </row>
    <row r="8" spans="1:12" x14ac:dyDescent="0.25">
      <c r="A8" s="160" t="str">
        <f>IF('入力 Inputs'!$F$1="English","Tax Impact (USD)",IF('入力 Inputs'!$F$1="日本語","税金への影響（米ドル）","税金への影響（米ドル） / Tax Impact (USD)"))</f>
        <v>Tax Impact (USD)</v>
      </c>
      <c r="B8" s="161">
        <f>B7*'入力 Inputs'!B66</f>
        <v>1522086.5000000002</v>
      </c>
      <c r="C8" s="121"/>
      <c r="D8" s="160" t="str">
        <f>IF('入力 Inputs'!$F$1="English","Tax Impact (JPY)",IF('入力 Inputs'!$F$1="日本語","税金への影響（円）","税金への影響（円） / Tax Impact (JPY)"))</f>
        <v>Tax Impact (JPY)</v>
      </c>
      <c r="E8" s="171">
        <f>E7*'入力 Inputs'!B66</f>
        <v>584617847</v>
      </c>
    </row>
    <row r="12" spans="1:12" x14ac:dyDescent="0.25">
      <c r="A12" s="168" t="str">
        <f>IF('入力 Inputs'!$F$1="English","10-YEAR TAX IMPACT: WITHOUT vs. WITH PPVA",IF('入力 Inputs'!$F$1="日本語","10年間税金への影響比較","10年間税金への影響比較 / 10-YEAR TAX IMPACT: WITHOUT vs. WITH PPVA"))</f>
        <v>10-YEAR TAX IMPACT: WITHOUT vs. WITH PPVA</v>
      </c>
      <c r="B12" s="35"/>
      <c r="C12" s="35"/>
      <c r="D12" s="35"/>
      <c r="E12" s="35"/>
      <c r="F12" s="35"/>
      <c r="G12" s="35"/>
      <c r="H12" s="35"/>
      <c r="I12" s="35"/>
    </row>
    <row r="13" spans="1:12" x14ac:dyDescent="0.25">
      <c r="A13" s="172" t="str">
        <f>IF('入力 Inputs'!$F$1="English","Year",IF('入力 Inputs'!$F$1="日本語","年","年 / Year"))</f>
        <v>Year</v>
      </c>
      <c r="B13" s="172" t="str">
        <f>IF('入力 Inputs'!$F$1="English","Existing CSV (USD)",IF('入力 Inputs'!$F$1="日本語","既存CSV（米ドル）","既存CSV（米ドル） / Existing CSV (USD)"))</f>
        <v>Existing CSV (USD)</v>
      </c>
      <c r="C13" s="172" t="str">
        <f>IF('入力 Inputs'!$F$1="English","Existing Gain (USD)",IF('入力 Inputs'!$F$1="日本語","既存利益（米ドル）","既存利益（米ドル） / Existing Gain (USD)"))</f>
        <v>Existing Gain (USD)</v>
      </c>
      <c r="D13" s="173" t="str">
        <f>IF('入力 Inputs'!$F$1="English","Tax w/o PPVA (USD)",IF('入力 Inputs'!$F$1="日本語","PPVAなし税金（米ドル）","PPVAなし税金（米ドル） / Tax w/o PPVA (USD)"))</f>
        <v>Tax w/o PPVA (USD)</v>
      </c>
      <c r="E13" s="172" t="str">
        <f>IF('入力 Inputs'!$F$1="English","PPVA Fund Value",IF('入力 Inputs'!$F$1="日本語","PPVAファンド価値","PPVAファンド価値 / PPVA Fund Value"))</f>
        <v>PPVA Fund Value</v>
      </c>
      <c r="F13" s="172" t="str">
        <f>IF('入力 Inputs'!$F$1="English","PPVA Surrender Value",IF('入力 Inputs'!$F$1="日本語","PPVA解約返戻金","PPVA解約返戻金 / PPVA Surrender Value"))</f>
        <v>PPVA Surrender Value</v>
      </c>
      <c r="G13" s="172" t="str">
        <f>IF('入力 Inputs'!$F$1="English","Combined CSV (JPY)",IF('入力 Inputs'!$F$1="日本語","合算CSV（円）","合算CSV（円） / Combined CSV (JPY)"))</f>
        <v>Combined CSV (JPY)</v>
      </c>
      <c r="H13" s="172" t="str">
        <f>IF('入力 Inputs'!$F$1="English","Combined Gain (JPY)",IF('入力 Inputs'!$F$1="日本語","合算利益（円）","合算利益（円） / Combined Gain (JPY)"))</f>
        <v>Combined Gain (JPY)</v>
      </c>
      <c r="I13" s="174" t="str">
        <f>IF('入力 Inputs'!$F$1="English","Tax w/ PPVA (USD)",IF('入力 Inputs'!$F$1="日本語","PPVAあり税金（米ドル）","PPVAあり税金（米ドル） / Tax w/ PPVA (USD)"))</f>
        <v>Tax w/ PPVA (USD)</v>
      </c>
      <c r="J13" s="214" t="str">
        <f>IF('入力 Inputs'!$F$1="English","Design B Fund Value",IF('入力 Inputs'!$F$1="日本語","デザインBファンド価値","デザインBファンド価値 / Design B Fund Value"))</f>
        <v>Design B Fund Value</v>
      </c>
      <c r="K13" s="214" t="str">
        <f>IF('入力 Inputs'!$F$1="English","Design B Surrender Value",IF('入力 Inputs'!$F$1="日本語","デザインB解約返戻金","デザインB解約返戻金 / Design B Surrender Value"))</f>
        <v>Design B Surrender Value</v>
      </c>
      <c r="L13" s="214" t="str">
        <f>IF('入力 Inputs'!$F$1="English","Tax w/ Design B (USD)",IF('入力 Inputs'!$F$1="日本語","デザインB税金（米ドル）","デザインB税金（米ドル） / Tax w/ Design B (USD)"))</f>
        <v>Tax w/ Design B (USD)</v>
      </c>
    </row>
    <row r="14" spans="1:12" x14ac:dyDescent="0.25">
      <c r="A14" s="159">
        <v>1</v>
      </c>
      <c r="B14" s="167">
        <f>'入力 Inputs'!$B$60*(1+'入力 Inputs'!$B$65)^A14</f>
        <v>20100892.359999999</v>
      </c>
      <c r="C14" s="167">
        <f>B14-'入力 Inputs'!$B$61</f>
        <v>3905216.3599999994</v>
      </c>
      <c r="D14" s="176">
        <f>MAX(C14,0)*'入力 Inputs'!$B$66</f>
        <v>2147868.9979999997</v>
      </c>
      <c r="E14" s="167">
        <f>'キャリア Carrier Illust.'!D5</f>
        <v>12826532.375535749</v>
      </c>
      <c r="F14" s="167">
        <f>'キャリア Carrier Illust.'!E5</f>
        <v>641326.618776788</v>
      </c>
      <c r="G14" s="169">
        <f>B14*'入力 Inputs'!$B$64+F14*'入力 Inputs'!$B$64</f>
        <v>3318755036.6042862</v>
      </c>
      <c r="H14" s="169">
        <f>G14-('入力 Inputs'!$B$67+'入力 Inputs'!$B$7*'入力 Inputs'!$B$64)</f>
        <v>-542769323.39571381</v>
      </c>
      <c r="I14" s="46">
        <f>MAX(H14,0)*'入力 Inputs'!$B$66/'入力 Inputs'!$B$64</f>
        <v>0</v>
      </c>
      <c r="J14" s="106">
        <f>('入力 Inputs'!B87-'入力 Inputs'!B87*'入力 Inputs'!$B$41-'入力 Inputs'!$B$57)*(1+'入力 Inputs'!$B$95)</f>
        <v>12735692.483649999</v>
      </c>
      <c r="K14" s="106" cm="1">
        <f t="array" ref="K14">IF(A14&lt;=10,J14*(1-INDEX('入力 Inputs'!$B$97:$B$106,A14)),J14)</f>
        <v>0</v>
      </c>
      <c r="L14" s="215">
        <f>MAX((B14*'入力 Inputs'!$B$64+K14*'入力 Inputs'!$B$64)-('入力 Inputs'!$B$67+'入力 Inputs'!$B$7*'入力 Inputs'!$B$64),0)*'入力 Inputs'!$B$66/'入力 Inputs'!$B$64</f>
        <v>0</v>
      </c>
    </row>
    <row r="15" spans="1:12" x14ac:dyDescent="0.25">
      <c r="A15" s="159">
        <v>2</v>
      </c>
      <c r="B15" s="167">
        <f>'入力 Inputs'!$B$60*(1+'入力 Inputs'!$B$65)^A15</f>
        <v>21306945.901600003</v>
      </c>
      <c r="C15" s="167">
        <f>B15-'入力 Inputs'!$B$61</f>
        <v>5111269.9016000032</v>
      </c>
      <c r="D15" s="176">
        <f>MAX(C15,0)*'入力 Inputs'!$B$66</f>
        <v>2811198.4458800019</v>
      </c>
      <c r="E15" s="167">
        <f>'キャリア Carrier Illust.'!D6</f>
        <v>13607938.782250719</v>
      </c>
      <c r="F15" s="167">
        <f>'キャリア Carrier Illust.'!E6</f>
        <v>1360793.8782250716</v>
      </c>
      <c r="G15" s="169">
        <f>B15*'入力 Inputs'!$B$64+F15*'入力 Inputs'!$B$64</f>
        <v>3626838364.7720118</v>
      </c>
      <c r="H15" s="169">
        <f>G15-('入力 Inputs'!$B$67+'入力 Inputs'!$B$7*'入力 Inputs'!$B$64)</f>
        <v>-234685995.22798824</v>
      </c>
      <c r="I15" s="46">
        <f>MAX(H15,0)*'入力 Inputs'!$B$66/'入力 Inputs'!$B$64</f>
        <v>0</v>
      </c>
      <c r="J15" s="106">
        <f>(J14-J14*'入力 Inputs'!$B$41)*(1+'入力 Inputs'!$B$95)</f>
        <v>13416001.336895373</v>
      </c>
      <c r="K15" s="106" cm="1">
        <f t="array" ref="K15">IF(A15&lt;=10,J15*(1-INDEX('入力 Inputs'!$B$97:$B$106,A15)),J15)</f>
        <v>8049600.8021372231</v>
      </c>
      <c r="L15" s="215">
        <f>MAX((B15*'入力 Inputs'!$B$64+K15*'入力 Inputs'!$B$64)-('入力 Inputs'!$B$67+'入力 Inputs'!$B$7*'入力 Inputs'!$B$64),0)*'入力 Inputs'!$B$66/'入力 Inputs'!$B$64</f>
        <v>2872110.6995554729</v>
      </c>
    </row>
    <row r="16" spans="1:12" x14ac:dyDescent="0.25">
      <c r="A16" s="159">
        <v>3</v>
      </c>
      <c r="B16" s="167">
        <f>'入力 Inputs'!$B$60*(1+'入力 Inputs'!$B$65)^A16</f>
        <v>22585362.655696005</v>
      </c>
      <c r="C16" s="167">
        <f>B16-'入力 Inputs'!$B$61</f>
        <v>6389686.6556960046</v>
      </c>
      <c r="D16" s="176">
        <f>MAX(C16,0)*'入力 Inputs'!$B$66</f>
        <v>3514327.6606328026</v>
      </c>
      <c r="E16" s="167">
        <f>'キャリア Carrier Illust.'!D7</f>
        <v>14436953.335889192</v>
      </c>
      <c r="F16" s="167">
        <f>'キャリア Carrier Illust.'!E7</f>
        <v>2887390.6671778378</v>
      </c>
      <c r="G16" s="169">
        <f>B16*'入力 Inputs'!$B$64+F16*'入力 Inputs'!$B$64</f>
        <v>4075640531.6598148</v>
      </c>
      <c r="H16" s="169">
        <f>G16-('入力 Inputs'!$B$67+'入力 Inputs'!$B$7*'入力 Inputs'!$B$64)</f>
        <v>214116171.65981483</v>
      </c>
      <c r="I16" s="46">
        <f>MAX(H16,0)*'入力 Inputs'!$B$66/'入力 Inputs'!$B$64</f>
        <v>736024.3400806135</v>
      </c>
      <c r="J16" s="106">
        <f>(J15-J15*'入力 Inputs'!$B$41)*(1+'入力 Inputs'!$B$95)</f>
        <v>14132650.588308981</v>
      </c>
      <c r="K16" s="106" cm="1">
        <f t="array" ref="K16">IF(A16&lt;=10,J16*(1-INDEX('入力 Inputs'!$B$97:$B$106,A16)),J16)</f>
        <v>11306120.470647186</v>
      </c>
      <c r="L16" s="215">
        <f>MAX((B16*'入力 Inputs'!$B$64+K16*'入力 Inputs'!$B$64)-('入力 Inputs'!$B$67+'入力 Inputs'!$B$7*'入力 Inputs'!$B$64),0)*'入力 Inputs'!$B$66/'入力 Inputs'!$B$64</f>
        <v>5366325.731988756</v>
      </c>
    </row>
    <row r="17" spans="1:12" x14ac:dyDescent="0.25">
      <c r="A17" s="159">
        <v>4</v>
      </c>
      <c r="B17" s="167">
        <f>'入力 Inputs'!$B$60*(1+'入力 Inputs'!$B$65)^A17</f>
        <v>23940484.415037766</v>
      </c>
      <c r="C17" s="167">
        <f>B17-'入力 Inputs'!$B$61</f>
        <v>7744808.4150377661</v>
      </c>
      <c r="D17" s="176">
        <f>MAX(C17,0)*'入力 Inputs'!$B$66</f>
        <v>4259644.6282707714</v>
      </c>
      <c r="E17" s="167">
        <f>'キャリア Carrier Illust.'!D8</f>
        <v>15316476.741781311</v>
      </c>
      <c r="F17" s="167">
        <f>'キャリア Carrier Illust.'!E8</f>
        <v>4594943.0225343937</v>
      </c>
      <c r="G17" s="169">
        <f>B17*'入力 Inputs'!$B$64+F17*'入力 Inputs'!$B$64</f>
        <v>4565668390.0115452</v>
      </c>
      <c r="H17" s="169">
        <f>G17-('入力 Inputs'!$B$67+'入力 Inputs'!$B$7*'入力 Inputs'!$B$64)</f>
        <v>704144030.01154518</v>
      </c>
      <c r="I17" s="46">
        <f>MAX(H17,0)*'入力 Inputs'!$B$66/'入力 Inputs'!$B$64</f>
        <v>2420495.1031646868</v>
      </c>
      <c r="J17" s="106">
        <f>(J16-J16*'入力 Inputs'!$B$41)*(1+'入力 Inputs'!$B$95)</f>
        <v>14887581.451109976</v>
      </c>
      <c r="K17" s="106" cm="1">
        <f t="array" ref="K17">IF(A17&lt;=10,J17*(1-INDEX('入力 Inputs'!$B$97:$B$106,A17)),J17)</f>
        <v>13398823.305998979</v>
      </c>
      <c r="L17" s="215">
        <f>MAX((B17*'入力 Inputs'!$B$64+K17*'入力 Inputs'!$B$64)-('入力 Inputs'!$B$67+'入力 Inputs'!$B$7*'入力 Inputs'!$B$64),0)*'入力 Inputs'!$B$66/'入力 Inputs'!$B$64</f>
        <v>7262629.2590702102</v>
      </c>
    </row>
    <row r="18" spans="1:12" x14ac:dyDescent="0.25">
      <c r="A18" s="159">
        <v>5</v>
      </c>
      <c r="B18" s="167">
        <f>'入力 Inputs'!$B$60*(1+'入力 Inputs'!$B$65)^A18</f>
        <v>25376913.479940034</v>
      </c>
      <c r="C18" s="167">
        <f>B18-'入力 Inputs'!$B$61</f>
        <v>9181237.4799400344</v>
      </c>
      <c r="D18" s="176">
        <f>MAX(C18,0)*'入力 Inputs'!$B$66</f>
        <v>5049680.6139670191</v>
      </c>
      <c r="E18" s="167">
        <f>'キャリア Carrier Illust.'!D9</f>
        <v>16249586.445246479</v>
      </c>
      <c r="F18" s="167">
        <f>'キャリア Carrier Illust.'!E9</f>
        <v>6499834.5780985914</v>
      </c>
      <c r="G18" s="169">
        <f>B18*'入力 Inputs'!$B$64+F18*'入力 Inputs'!$B$64</f>
        <v>5100279689.2861795</v>
      </c>
      <c r="H18" s="169">
        <f>G18-('入力 Inputs'!$B$67+'入力 Inputs'!$B$7*'入力 Inputs'!$B$64)</f>
        <v>1238755329.2861795</v>
      </c>
      <c r="I18" s="46">
        <f>MAX(H18,0)*'入力 Inputs'!$B$66/'入力 Inputs'!$B$64</f>
        <v>4258221.444421242</v>
      </c>
      <c r="J18" s="106">
        <f>(J17-J17*'入力 Inputs'!$B$41)*(1+'入力 Inputs'!$B$95)</f>
        <v>15682838.83327464</v>
      </c>
      <c r="K18" s="106" cm="1">
        <f t="array" ref="K18">IF(A18&lt;=10,J18*(1-INDEX('入力 Inputs'!$B$97:$B$106,A18)),J18)</f>
        <v>14898696.891610907</v>
      </c>
      <c r="L18" s="215">
        <f>MAX((B18*'入力 Inputs'!$B$64+K18*'入力 Inputs'!$B$64)-('入力 Inputs'!$B$67+'入力 Inputs'!$B$7*'入力 Inputs'!$B$64),0)*'入力 Inputs'!$B$66/'入力 Inputs'!$B$64</f>
        <v>8877595.7168530189</v>
      </c>
    </row>
    <row r="19" spans="1:12" x14ac:dyDescent="0.25">
      <c r="A19" s="159">
        <v>6</v>
      </c>
      <c r="B19" s="167">
        <f>'入力 Inputs'!$B$60*(1+'入力 Inputs'!$B$65)^A19</f>
        <v>26899528.288736437</v>
      </c>
      <c r="C19" s="167">
        <f>B19-'入力 Inputs'!$B$61</f>
        <v>10703852.288736437</v>
      </c>
      <c r="D19" s="176">
        <f>MAX(C19,0)*'入力 Inputs'!$B$66</f>
        <v>5887118.7588050403</v>
      </c>
      <c r="E19" s="167">
        <f>'キャリア Carrier Illust.'!D10</f>
        <v>17239547.400470108</v>
      </c>
      <c r="F19" s="167">
        <f>'キャリア Carrier Illust.'!E10</f>
        <v>17239547.400470108</v>
      </c>
      <c r="G19" s="169">
        <f>B19*'入力 Inputs'!$B$64+F19*'入力 Inputs'!$B$64</f>
        <v>7062252110.2730474</v>
      </c>
      <c r="H19" s="169">
        <f>G19-('入力 Inputs'!$B$67+'入力 Inputs'!$B$7*'入力 Inputs'!$B$64)</f>
        <v>3200727750.2730474</v>
      </c>
      <c r="I19" s="46">
        <f>MAX(H19,0)*'入力 Inputs'!$B$66/'入力 Inputs'!$B$64</f>
        <v>11002501.641563602</v>
      </c>
      <c r="J19" s="106">
        <f>(J18-J18*'入力 Inputs'!$B$41)*(1+'入力 Inputs'!$B$95)</f>
        <v>16520576.876651086</v>
      </c>
      <c r="K19" s="106" cm="1">
        <f t="array" ref="K19">IF(A19&lt;=10,J19*(1-INDEX('入力 Inputs'!$B$97:$B$106,A19)),J19)</f>
        <v>16520576.876651086</v>
      </c>
      <c r="L19" s="215">
        <f>MAX((B19*'入力 Inputs'!$B$64+K19*'入力 Inputs'!$B$64)-('入力 Inputs'!$B$67+'入力 Inputs'!$B$7*'入力 Inputs'!$B$64),0)*'入力 Inputs'!$B$66/'入力 Inputs'!$B$64</f>
        <v>10607067.853463139</v>
      </c>
    </row>
    <row r="20" spans="1:12" x14ac:dyDescent="0.25">
      <c r="A20" s="159">
        <v>7</v>
      </c>
      <c r="B20" s="167">
        <f>'入力 Inputs'!$B$60*(1+'入力 Inputs'!$B$65)^A20</f>
        <v>28513499.986060627</v>
      </c>
      <c r="C20" s="167">
        <f>B20-'入力 Inputs'!$B$61</f>
        <v>12317823.986060627</v>
      </c>
      <c r="D20" s="176">
        <f>MAX(C20,0)*'入力 Inputs'!$B$66</f>
        <v>6774803.1923333453</v>
      </c>
      <c r="E20" s="167">
        <f>'キャリア Carrier Illust.'!D11</f>
        <v>18289823.495537903</v>
      </c>
      <c r="F20" s="167">
        <f>'キャリア Carrier Illust.'!E11</f>
        <v>18289823.495537903</v>
      </c>
      <c r="G20" s="169">
        <f>B20*'入力 Inputs'!$B$64+F20*'入力 Inputs'!$B$64</f>
        <v>7488531757.0557652</v>
      </c>
      <c r="H20" s="169">
        <f>G20-('入力 Inputs'!$B$67+'入力 Inputs'!$B$7*'入力 Inputs'!$B$64)</f>
        <v>3627007397.0557652</v>
      </c>
      <c r="I20" s="46">
        <f>MAX(H20,0)*'入力 Inputs'!$B$66/'入力 Inputs'!$B$64</f>
        <v>12467837.927379195</v>
      </c>
      <c r="J20" s="106">
        <f>(J19-J19*'入力 Inputs'!$B$41)*(1+'入力 Inputs'!$B$95)</f>
        <v>17403064.791959595</v>
      </c>
      <c r="K20" s="106" cm="1">
        <f t="array" ref="K20">IF(A20&lt;=10,J20*(1-INDEX('入力 Inputs'!$B$97:$B$106,A20)),J20)</f>
        <v>17403064.791959595</v>
      </c>
      <c r="L20" s="215">
        <f>MAX((B20*'入力 Inputs'!$B$64+K20*'入力 Inputs'!$B$64)-('入力 Inputs'!$B$67+'入力 Inputs'!$B$7*'入力 Inputs'!$B$64),0)*'入力 Inputs'!$B$66/'入力 Inputs'!$B$64</f>
        <v>11980120.640411122</v>
      </c>
    </row>
    <row r="21" spans="1:12" x14ac:dyDescent="0.25">
      <c r="A21" s="159">
        <v>8</v>
      </c>
      <c r="B21" s="167">
        <f>'入力 Inputs'!$B$60*(1+'入力 Inputs'!$B$65)^A21</f>
        <v>30224309.985224262</v>
      </c>
      <c r="C21" s="167">
        <f>B21-'入力 Inputs'!$B$61</f>
        <v>14028633.985224262</v>
      </c>
      <c r="D21" s="176">
        <f>MAX(C21,0)*'入力 Inputs'!$B$66</f>
        <v>7715748.6918733446</v>
      </c>
      <c r="E21" s="167">
        <f>'キャリア Carrier Illust.'!D12</f>
        <v>19404089.673608128</v>
      </c>
      <c r="F21" s="167">
        <f>'キャリア Carrier Illust.'!E12</f>
        <v>19404089.673608128</v>
      </c>
      <c r="G21" s="169">
        <f>B21*'入力 Inputs'!$B$64+F21*'入力 Inputs'!$B$64</f>
        <v>7940543945.4131813</v>
      </c>
      <c r="H21" s="169">
        <f>G21-('入力 Inputs'!$B$67+'入力 Inputs'!$B$7*'入力 Inputs'!$B$64)</f>
        <v>4079019585.4131813</v>
      </c>
      <c r="I21" s="46">
        <f>MAX(H21,0)*'入力 Inputs'!$B$66/'入力 Inputs'!$B$64</f>
        <v>14021629.824857812</v>
      </c>
      <c r="J21" s="106">
        <f>(J20-J20*'入力 Inputs'!$B$41)*(1+'入力 Inputs'!$B$95)</f>
        <v>18332693.005484097</v>
      </c>
      <c r="K21" s="106" cm="1">
        <f t="array" ref="K21">IF(A21&lt;=10,J21*(1-INDEX('入力 Inputs'!$B$97:$B$106,A21)),J21)</f>
        <v>18332693.005484097</v>
      </c>
      <c r="L21" s="215">
        <f>MAX((B21*'入力 Inputs'!$B$64+K21*'入力 Inputs'!$B$64)-('入力 Inputs'!$B$67+'入力 Inputs'!$B$7*'入力 Inputs'!$B$64),0)*'入力 Inputs'!$B$66/'入力 Inputs'!$B$64</f>
        <v>13432361.657389596</v>
      </c>
    </row>
    <row r="22" spans="1:12" x14ac:dyDescent="0.25">
      <c r="A22" s="159">
        <v>9</v>
      </c>
      <c r="B22" s="167">
        <f>'入力 Inputs'!$B$60*(1+'入力 Inputs'!$B$65)^A22</f>
        <v>32037768.584337719</v>
      </c>
      <c r="C22" s="167">
        <f>B22-'入力 Inputs'!$B$61</f>
        <v>15842092.584337719</v>
      </c>
      <c r="D22" s="176">
        <f>MAX(C22,0)*'入力 Inputs'!$B$66</f>
        <v>8713150.9213857464</v>
      </c>
      <c r="E22" s="167">
        <f>'キャリア Carrier Illust.'!D13</f>
        <v>20586244.79263819</v>
      </c>
      <c r="F22" s="167">
        <f>'キャリア Carrier Illust.'!E13</f>
        <v>20586244.79263819</v>
      </c>
      <c r="G22" s="169">
        <f>B22*'入力 Inputs'!$B$64+F22*'入力 Inputs'!$B$64</f>
        <v>8419842140.3161449</v>
      </c>
      <c r="H22" s="169">
        <f>G22-('入力 Inputs'!$B$67+'入力 Inputs'!$B$7*'入力 Inputs'!$B$64)</f>
        <v>4558317780.3161449</v>
      </c>
      <c r="I22" s="46">
        <f>MAX(H22,0)*'入力 Inputs'!$B$66/'入力 Inputs'!$B$64</f>
        <v>15669217.369836751</v>
      </c>
      <c r="J22" s="106">
        <f>(J21-J21*'入力 Inputs'!$B$41)*(1+'入力 Inputs'!$B$95)</f>
        <v>19311979.634104542</v>
      </c>
      <c r="K22" s="106" cm="1">
        <f t="array" ref="K22">IF(A22&lt;=10,J22*(1-INDEX('入力 Inputs'!$B$97:$B$106,A22)),J22)</f>
        <v>19311979.634104542</v>
      </c>
      <c r="L22" s="215">
        <f>MAX((B22*'入力 Inputs'!$B$64+K22*'入力 Inputs'!$B$64)-('入力 Inputs'!$B$67+'入力 Inputs'!$B$7*'入力 Inputs'!$B$64),0)*'入力 Inputs'!$B$66/'入力 Inputs'!$B$64</f>
        <v>14968371.532643244</v>
      </c>
    </row>
    <row r="23" spans="1:12" x14ac:dyDescent="0.25">
      <c r="A23" s="159">
        <v>10</v>
      </c>
      <c r="B23" s="167">
        <f>'入力 Inputs'!$B$60*(1+'入力 Inputs'!$B$65)^A23</f>
        <v>33960034.699397989</v>
      </c>
      <c r="C23" s="167">
        <f>B23-'入力 Inputs'!$B$61</f>
        <v>17764358.699397989</v>
      </c>
      <c r="D23" s="176">
        <f>MAX(C23,0)*'入力 Inputs'!$B$66</f>
        <v>9770397.2846688945</v>
      </c>
      <c r="E23" s="167">
        <f>'キャリア Carrier Illust.'!D14</f>
        <v>21840425.268666591</v>
      </c>
      <c r="F23" s="167">
        <f>'キャリア Carrier Illust.'!E14</f>
        <v>21840425.268666591</v>
      </c>
      <c r="G23" s="169">
        <f>B23*'入力 Inputs'!$B$64+F23*'入力 Inputs'!$B$64</f>
        <v>8928073594.8903332</v>
      </c>
      <c r="H23" s="169">
        <f>G23-('入力 Inputs'!$B$67+'入力 Inputs'!$B$7*'入力 Inputs'!$B$64)</f>
        <v>5066549234.8903332</v>
      </c>
      <c r="I23" s="46">
        <f>MAX(H23,0)*'入力 Inputs'!$B$66/'入力 Inputs'!$B$64</f>
        <v>17416262.99493552</v>
      </c>
      <c r="J23" s="106">
        <f>(J22-J22*'入力 Inputs'!$B$41)*(1+'入力 Inputs'!$B$95)</f>
        <v>20343577.306209322</v>
      </c>
      <c r="K23" s="106" cm="1">
        <f t="array" ref="K23">IF(A23&lt;=10,J23*(1-INDEX('入力 Inputs'!$B$97:$B$106,A23)),J23)</f>
        <v>20343577.306209322</v>
      </c>
      <c r="L23" s="215">
        <f>MAX((B23*'入力 Inputs'!$B$64+K23*'入力 Inputs'!$B$64)-('入力 Inputs'!$B$67+'入力 Inputs'!$B$7*'入力 Inputs'!$B$64),0)*'入力 Inputs'!$B$66/'入力 Inputs'!$B$64</f>
        <v>16592996.61558402</v>
      </c>
    </row>
    <row r="25" spans="1:12" x14ac:dyDescent="0.25">
      <c r="A25" s="168" t="str">
        <f>IF('入力 Inputs'!$F$1="English","TAX SAVINGS SUMMARY",IF('入力 Inputs'!$F$1="日本語","税金節約概要","税金節約概要 / TAX SAVINGS SUMMARY"))</f>
        <v>TAX SAVINGS SUMMARY</v>
      </c>
      <c r="B25" s="35"/>
      <c r="C25" s="35"/>
      <c r="D25" s="35"/>
      <c r="E25" s="35"/>
    </row>
    <row r="26" spans="1:12" x14ac:dyDescent="0.25">
      <c r="B26" s="173" t="str">
        <f>IF('入力 Inputs'!$F$1="English","Without PPVA",IF('入力 Inputs'!$F$1="日本語","PPVAなし","PPVAなし / Without PPVA"))</f>
        <v>Without PPVA</v>
      </c>
      <c r="C26" s="174" t="str">
        <f>IF('入力 Inputs'!$F$1="English","With PPVA",IF('入力 Inputs'!$F$1="日本語","PPVAあり","PPVAあり / With PPVA"))</f>
        <v>With PPVA</v>
      </c>
      <c r="D26" s="172" t="str">
        <f>IF('入力 Inputs'!$F$1="English","Tax Savings",IF('入力 Inputs'!$F$1="日本語","税金節約額","税金節約額 / Tax Savings"))</f>
        <v>Tax Savings</v>
      </c>
      <c r="E26" s="216" t="str">
        <f>IF('入力 Inputs'!$F$1="English","Tax w/ Design B",IF('入力 Inputs'!$F$1="日本語","デザインB税金","デザインB税金 / Tax w/ Design B"))</f>
        <v>Tax w/ Design B</v>
      </c>
    </row>
    <row r="27" spans="1:12" x14ac:dyDescent="0.25">
      <c r="A27" s="146" t="str">
        <f>IF('入力 Inputs'!$F$1="English","Year 1 Tax Impact",IF('入力 Inputs'!$F$1="日本語","1年目税金への影響","1年目税金への影響 / Year 1 Tax Impact"))</f>
        <v>Year 1 Tax Impact</v>
      </c>
      <c r="B27" s="176">
        <f>D14</f>
        <v>2147868.9979999997</v>
      </c>
      <c r="C27" s="178">
        <f>I14</f>
        <v>0</v>
      </c>
      <c r="D27" s="179">
        <f>B27-C27</f>
        <v>2147868.9979999997</v>
      </c>
      <c r="E27" s="217">
        <f>L14</f>
        <v>0</v>
      </c>
    </row>
    <row r="28" spans="1:12" x14ac:dyDescent="0.25">
      <c r="A28" s="146" t="str">
        <f>IF('入力 Inputs'!$F$1="English","Year 3 Tax Impact",IF('入力 Inputs'!$F$1="日本語","3年目税金への影響","3年目税金への影響 / Year 3 Tax Impact"))</f>
        <v>Year 3 Tax Impact</v>
      </c>
      <c r="B28" s="176">
        <f>D16</f>
        <v>3514327.6606328026</v>
      </c>
      <c r="C28" s="178">
        <f>I16</f>
        <v>736024.3400806135</v>
      </c>
      <c r="D28" s="179">
        <f>B28-C28</f>
        <v>2778303.3205521889</v>
      </c>
      <c r="E28" s="217">
        <f>L16</f>
        <v>5366325.731988756</v>
      </c>
    </row>
    <row r="29" spans="1:12" x14ac:dyDescent="0.25">
      <c r="A29" s="146" t="str">
        <f>IF('入力 Inputs'!$F$1="English","Year 5 Tax Impact",IF('入力 Inputs'!$F$1="日本語","5年目税金への影響","5年目税金への影響 / Year 5 Tax Impact"))</f>
        <v>Year 5 Tax Impact</v>
      </c>
      <c r="B29" s="176">
        <f>D18</f>
        <v>5049680.6139670191</v>
      </c>
      <c r="C29" s="178">
        <f>I18</f>
        <v>4258221.444421242</v>
      </c>
      <c r="D29" s="179">
        <f>B29-C29</f>
        <v>791459.16954577714</v>
      </c>
      <c r="E29" s="217">
        <f>L18</f>
        <v>8877595.7168530189</v>
      </c>
    </row>
    <row r="30" spans="1:12" x14ac:dyDescent="0.25">
      <c r="A30" s="160" t="str">
        <f>IF('入力 Inputs'!$F$1="English","Year 10 Tax Impact",IF('入力 Inputs'!$F$1="日本語","10年目税金への影響","10年目税金への影響 / Year 10 Tax Impact"))</f>
        <v>Year 10 Tax Impact</v>
      </c>
      <c r="B30" s="180">
        <f>D23</f>
        <v>9770397.2846688945</v>
      </c>
      <c r="C30" s="181">
        <f>I23</f>
        <v>17416262.99493552</v>
      </c>
      <c r="D30" s="182">
        <f>B30-C30</f>
        <v>-7645865.7102666255</v>
      </c>
      <c r="E30" s="218">
        <f>L23</f>
        <v>16592996.61558402</v>
      </c>
    </row>
    <row r="32" spans="1:12" x14ac:dyDescent="0.25">
      <c r="A32" s="185" t="str">
        <f>IF('入力 Inputs'!$F$1="English","Year",IF('入力 Inputs'!$F$1="日本語","年","年 / Year"))</f>
        <v>Year</v>
      </c>
      <c r="B32" s="184" t="str">
        <f>IF('入力 Inputs'!$F$1="English","Tax w/o PPVA",IF('入力 Inputs'!$F$1="日本語","PPVAなし税金","PPVAなし税金 / Tax w/o PPVA"))</f>
        <v>Tax w/o PPVA</v>
      </c>
      <c r="C32" s="184" t="str">
        <f>IF('入力 Inputs'!$F$1="English","Tax w/ PPVA",IF('入力 Inputs'!$F$1="日本語","PPVAあり税金","PPVAあり税金 / Tax w/ PPVA"))</f>
        <v>Tax w/ PPVA</v>
      </c>
      <c r="D32" s="219" t="str">
        <f>IF('入力 Inputs'!$F$1="English","Tax w/ Design B",IF('入力 Inputs'!$F$1="日本語","デザインB税金","デザインB税金 / Tax w/ Design B"))</f>
        <v>Tax w/ Design B</v>
      </c>
    </row>
    <row r="33" spans="1:6" x14ac:dyDescent="0.25">
      <c r="A33">
        <f t="shared" ref="A33:A42" si="0">A14</f>
        <v>1</v>
      </c>
      <c r="B33" s="106">
        <f t="shared" ref="B33:B42" si="1">D14</f>
        <v>2147868.9979999997</v>
      </c>
      <c r="C33" s="106">
        <f t="shared" ref="C33:C42" si="2">I14</f>
        <v>0</v>
      </c>
      <c r="D33">
        <f t="shared" ref="D33:D42" si="3">L14</f>
        <v>0</v>
      </c>
    </row>
    <row r="34" spans="1:6" x14ac:dyDescent="0.25">
      <c r="A34">
        <f t="shared" si="0"/>
        <v>2</v>
      </c>
      <c r="B34" s="106">
        <f t="shared" si="1"/>
        <v>2811198.4458800019</v>
      </c>
      <c r="C34" s="106">
        <f t="shared" si="2"/>
        <v>0</v>
      </c>
      <c r="D34">
        <f t="shared" si="3"/>
        <v>2872110.6995554729</v>
      </c>
    </row>
    <row r="35" spans="1:6" x14ac:dyDescent="0.25">
      <c r="A35">
        <f t="shared" si="0"/>
        <v>3</v>
      </c>
      <c r="B35" s="106">
        <f t="shared" si="1"/>
        <v>3514327.6606328026</v>
      </c>
      <c r="C35" s="106">
        <f t="shared" si="2"/>
        <v>736024.3400806135</v>
      </c>
      <c r="D35">
        <f t="shared" si="3"/>
        <v>5366325.731988756</v>
      </c>
    </row>
    <row r="36" spans="1:6" x14ac:dyDescent="0.25">
      <c r="A36">
        <f t="shared" si="0"/>
        <v>4</v>
      </c>
      <c r="B36" s="106">
        <f t="shared" si="1"/>
        <v>4259644.6282707714</v>
      </c>
      <c r="C36" s="106">
        <f t="shared" si="2"/>
        <v>2420495.1031646868</v>
      </c>
      <c r="D36">
        <f t="shared" si="3"/>
        <v>7262629.2590702102</v>
      </c>
    </row>
    <row r="37" spans="1:6" x14ac:dyDescent="0.25">
      <c r="A37">
        <f t="shared" si="0"/>
        <v>5</v>
      </c>
      <c r="B37" s="106">
        <f t="shared" si="1"/>
        <v>5049680.6139670191</v>
      </c>
      <c r="C37" s="106">
        <f t="shared" si="2"/>
        <v>4258221.444421242</v>
      </c>
      <c r="D37">
        <f t="shared" si="3"/>
        <v>8877595.7168530189</v>
      </c>
    </row>
    <row r="38" spans="1:6" x14ac:dyDescent="0.25">
      <c r="A38">
        <f t="shared" si="0"/>
        <v>6</v>
      </c>
      <c r="B38" s="106">
        <f t="shared" si="1"/>
        <v>5887118.7588050403</v>
      </c>
      <c r="C38" s="106">
        <f t="shared" si="2"/>
        <v>11002501.641563602</v>
      </c>
      <c r="D38">
        <f t="shared" si="3"/>
        <v>10607067.853463139</v>
      </c>
    </row>
    <row r="39" spans="1:6" x14ac:dyDescent="0.25">
      <c r="A39">
        <f t="shared" si="0"/>
        <v>7</v>
      </c>
      <c r="B39" s="106">
        <f t="shared" si="1"/>
        <v>6774803.1923333453</v>
      </c>
      <c r="C39" s="106">
        <f t="shared" si="2"/>
        <v>12467837.927379195</v>
      </c>
      <c r="D39">
        <f t="shared" si="3"/>
        <v>11980120.640411122</v>
      </c>
    </row>
    <row r="40" spans="1:6" x14ac:dyDescent="0.25">
      <c r="A40">
        <f t="shared" si="0"/>
        <v>8</v>
      </c>
      <c r="B40" s="106">
        <f t="shared" si="1"/>
        <v>7715748.6918733446</v>
      </c>
      <c r="C40" s="106">
        <f t="shared" si="2"/>
        <v>14021629.824857812</v>
      </c>
      <c r="D40">
        <f t="shared" si="3"/>
        <v>13432361.657389596</v>
      </c>
    </row>
    <row r="41" spans="1:6" x14ac:dyDescent="0.25">
      <c r="A41">
        <f t="shared" si="0"/>
        <v>9</v>
      </c>
      <c r="B41" s="106">
        <f t="shared" si="1"/>
        <v>8713150.9213857464</v>
      </c>
      <c r="C41" s="106">
        <f t="shared" si="2"/>
        <v>15669217.369836751</v>
      </c>
      <c r="D41">
        <f t="shared" si="3"/>
        <v>14968371.532643244</v>
      </c>
    </row>
    <row r="42" spans="1:6" x14ac:dyDescent="0.25">
      <c r="A42">
        <f t="shared" si="0"/>
        <v>10</v>
      </c>
      <c r="B42" s="106">
        <f t="shared" si="1"/>
        <v>9770397.2846688945</v>
      </c>
      <c r="C42" s="106">
        <f t="shared" si="2"/>
        <v>17416262.99493552</v>
      </c>
      <c r="D42">
        <f t="shared" si="3"/>
        <v>16592996.61558402</v>
      </c>
    </row>
    <row r="45" spans="1:6" x14ac:dyDescent="0.25">
      <c r="A45" s="205" t="str">
        <f>IF('入力 Inputs'!$F$1="English","SENSITIVITY: Year 5 Tax Savings (USD)",IF('入力 Inputs'!$F$1="日本語","感度分析：5年目税金節約額（米ドル）","感度分析：5年目税金節約額（米ドル） / SENSITIVITY: Year 5 Tax Savings (USD)"))</f>
        <v>SENSITIVITY: Year 5 Tax Savings (USD)</v>
      </c>
      <c r="B45" s="205"/>
      <c r="C45" s="205"/>
      <c r="D45" s="205"/>
      <c r="E45" s="205"/>
      <c r="F45" s="205"/>
    </row>
    <row r="46" spans="1:6" x14ac:dyDescent="0.25">
      <c r="A46" s="233" t="str">
        <f>IF('入力 Inputs'!$F$1="English","FX Dissolution / CSV Growth",IF('入力 Inputs'!$F$1="日本語","FX解散率 / CSV成長率","FX解散率 / CSV成長率 / FX Dissolution / CSV Growth"))</f>
        <v>FX Dissolution / CSV Growth</v>
      </c>
      <c r="B46" s="234">
        <v>0.04</v>
      </c>
      <c r="C46" s="234">
        <v>0.05</v>
      </c>
      <c r="D46" s="234">
        <v>0.06</v>
      </c>
      <c r="E46" s="234">
        <v>7.0000000000000007E-2</v>
      </c>
      <c r="F46" s="234">
        <v>0.08</v>
      </c>
    </row>
    <row r="47" spans="1:6" x14ac:dyDescent="0.25">
      <c r="A47" s="235">
        <v>130</v>
      </c>
      <c r="B47" s="236">
        <f>MAX('入力 Inputs'!B60*(1+B$46)^5-'入力 Inputs'!B61,0)*'入力 Inputs'!B66-MAX(('入力 Inputs'!B60*(1+B$46)^5*$A47+'キャリア Carrier Illust.'!E9*$A47)-('入力 Inputs'!B67+'入力 Inputs'!B7*$A47),0)*'入力 Inputs'!B66/$A47</f>
        <v>2204687.6281996211</v>
      </c>
      <c r="C47" s="236">
        <f>MAX('入力 Inputs'!B60*(1+C$46)^5-'入力 Inputs'!B61,0)*'入力 Inputs'!B66-MAX(('入力 Inputs'!B60*(1+C$46)^5*$A47+'キャリア Carrier Illust.'!E9*$A47)-('入力 Inputs'!B67+'入力 Inputs'!B7*$A47),0)*'入力 Inputs'!B66/$A47</f>
        <v>2204687.6281996206</v>
      </c>
      <c r="D47" s="236">
        <f>MAX('入力 Inputs'!B60*(1+D$46)^5-'入力 Inputs'!B61,0)*'入力 Inputs'!B66-MAX(('入力 Inputs'!B60*(1+D$46)^5*$A47+'キャリア Carrier Illust.'!E9*$A47)-('入力 Inputs'!B67+'入力 Inputs'!B7*$A47),0)*'入力 Inputs'!B66/$A47</f>
        <v>2204687.628199622</v>
      </c>
      <c r="E47" s="236">
        <f>MAX('入力 Inputs'!B60*(1+E$46)^5-'入力 Inputs'!B61,0)*'入力 Inputs'!B66-MAX(('入力 Inputs'!B60*(1+E$46)^5*$A47+'キャリア Carrier Illust.'!E9*$A47)-('入力 Inputs'!B67+'入力 Inputs'!B7*$A47),0)*'入力 Inputs'!B66/$A47</f>
        <v>2204687.6281996188</v>
      </c>
      <c r="F47" s="236">
        <f>MAX('入力 Inputs'!B60*(1+F$46)^5-'入力 Inputs'!B61,0)*'入力 Inputs'!B66-MAX(('入力 Inputs'!B60*(1+F$46)^5*$A47+'キャリア Carrier Illust.'!E9*$A47)-('入力 Inputs'!B67+'入力 Inputs'!B7*$A47),0)*'入力 Inputs'!B66/$A47</f>
        <v>2204687.6281996202</v>
      </c>
    </row>
    <row r="48" spans="1:6" x14ac:dyDescent="0.25">
      <c r="A48" s="235">
        <v>140</v>
      </c>
      <c r="B48" s="236">
        <f>MAX('入力 Inputs'!B60*(1+B$46)^5-'入力 Inputs'!B61,0)*'入力 Inputs'!B66-MAX(('入力 Inputs'!B60*(1+B$46)^5*$A48+'キャリア Carrier Illust.'!E9*$A48)-('入力 Inputs'!B67+'入力 Inputs'!B7*$A48),0)*'入力 Inputs'!B66/$A48</f>
        <v>1666314.8820457761</v>
      </c>
      <c r="C48" s="236">
        <f>MAX('入力 Inputs'!B60*(1+C$46)^5-'入力 Inputs'!B61,0)*'入力 Inputs'!B66-MAX(('入力 Inputs'!B60*(1+C$46)^5*$A48+'キャリア Carrier Illust.'!E9*$A48)-('入力 Inputs'!B67+'入力 Inputs'!B7*$A48),0)*'入力 Inputs'!B66/$A48</f>
        <v>1666314.8820457733</v>
      </c>
      <c r="D48" s="236">
        <f>MAX('入力 Inputs'!B60*(1+D$46)^5-'入力 Inputs'!B61,0)*'入力 Inputs'!B66-MAX(('入力 Inputs'!B60*(1+D$46)^5*$A48+'キャリア Carrier Illust.'!E9*$A48)-('入力 Inputs'!B67+'入力 Inputs'!B7*$A48),0)*'入力 Inputs'!B66/$A48</f>
        <v>1666314.8820457761</v>
      </c>
      <c r="E48" s="236">
        <f>MAX('入力 Inputs'!B60*(1+E$46)^5-'入力 Inputs'!B61,0)*'入力 Inputs'!B66-MAX(('入力 Inputs'!B60*(1+E$46)^5*$A48+'キャリア Carrier Illust.'!E9*$A48)-('入力 Inputs'!B67+'入力 Inputs'!B7*$A48),0)*'入力 Inputs'!B66/$A48</f>
        <v>1666314.8820457743</v>
      </c>
      <c r="F48" s="236">
        <f>MAX('入力 Inputs'!B60*(1+F$46)^5-'入力 Inputs'!B61,0)*'入力 Inputs'!B66-MAX(('入力 Inputs'!B60*(1+F$46)^5*$A48+'キャリア Carrier Illust.'!E9*$A48)-('入力 Inputs'!B67+'入力 Inputs'!B7*$A48),0)*'入力 Inputs'!B66/$A48</f>
        <v>1666314.8820457757</v>
      </c>
    </row>
    <row r="49" spans="1:6" x14ac:dyDescent="0.25">
      <c r="A49" s="235">
        <v>150</v>
      </c>
      <c r="B49" s="236">
        <f>MAX('入力 Inputs'!B60*(1+B$46)^5-'入力 Inputs'!B61,0)*'入力 Inputs'!B66-MAX(('入力 Inputs'!B60*(1+B$46)^5*$A49+'キャリア Carrier Illust.'!E9*$A49)-('入力 Inputs'!B67+'入力 Inputs'!B7*$A49),0)*'入力 Inputs'!B66/$A49</f>
        <v>1199725.1687124409</v>
      </c>
      <c r="C49" s="236">
        <f>MAX('入力 Inputs'!B60*(1+C$46)^5-'入力 Inputs'!B61,0)*'入力 Inputs'!B66-MAX(('入力 Inputs'!B60*(1+C$46)^5*$A49+'キャリア Carrier Illust.'!E9*$A49)-('入力 Inputs'!B67+'入力 Inputs'!B7*$A49),0)*'入力 Inputs'!B66/$A49</f>
        <v>1199725.1687124404</v>
      </c>
      <c r="D49" s="237">
        <f>MAX('入力 Inputs'!B60*(1+D$46)^5-'入力 Inputs'!B61,0)*'入力 Inputs'!B66-MAX(('入力 Inputs'!B60*(1+D$46)^5*$A49+'キャリア Carrier Illust.'!E9*$A49)-('入力 Inputs'!B67+'入力 Inputs'!B7*$A49),0)*'入力 Inputs'!B66/$A49</f>
        <v>1199725.1687124427</v>
      </c>
      <c r="E49" s="236">
        <f>MAX('入力 Inputs'!B60*(1+E$46)^5-'入力 Inputs'!B61,0)*'入力 Inputs'!B66-MAX(('入力 Inputs'!B60*(1+E$46)^5*$A49+'キャリア Carrier Illust.'!E9*$A49)-('入力 Inputs'!B67+'入力 Inputs'!B7*$A49),0)*'入力 Inputs'!B66/$A49</f>
        <v>1199725.1687124418</v>
      </c>
      <c r="F49" s="236">
        <f>MAX('入力 Inputs'!B60*(1+F$46)^5-'入力 Inputs'!B61,0)*'入力 Inputs'!B66-MAX(('入力 Inputs'!B60*(1+F$46)^5*$A49+'キャリア Carrier Illust.'!E9*$A49)-('入力 Inputs'!B67+'入力 Inputs'!B7*$A49),0)*'入力 Inputs'!B66/$A49</f>
        <v>1199725.1687124427</v>
      </c>
    </row>
    <row r="50" spans="1:6" x14ac:dyDescent="0.25">
      <c r="A50" s="235">
        <v>160</v>
      </c>
      <c r="B50" s="236">
        <f>MAX('入力 Inputs'!B60*(1+B$46)^5-'入力 Inputs'!B61,0)*'入力 Inputs'!B66-MAX(('入力 Inputs'!B60*(1+B$46)^5*$A50+'キャリア Carrier Illust.'!E9*$A50)-('入力 Inputs'!B67+'入力 Inputs'!B7*$A50),0)*'入力 Inputs'!B66/$A50</f>
        <v>791459.16954577575</v>
      </c>
      <c r="C50" s="236">
        <f>MAX('入力 Inputs'!B60*(1+C$46)^5-'入力 Inputs'!B61,0)*'入力 Inputs'!B66-MAX(('入力 Inputs'!B60*(1+C$46)^5*$A50+'キャリア Carrier Illust.'!E9*$A50)-('入力 Inputs'!B67+'入力 Inputs'!B7*$A50),0)*'入力 Inputs'!B66/$A50</f>
        <v>791459.16954577435</v>
      </c>
      <c r="D50" s="236">
        <f>MAX('入力 Inputs'!B60*(1+D$46)^5-'入力 Inputs'!B61,0)*'入力 Inputs'!B66-MAX(('入力 Inputs'!B60*(1+D$46)^5*$A50+'キャリア Carrier Illust.'!E9*$A50)-('入力 Inputs'!B67+'入力 Inputs'!B7*$A50),0)*'入力 Inputs'!B66/$A50</f>
        <v>791459.16954577714</v>
      </c>
      <c r="E50" s="236">
        <f>MAX('入力 Inputs'!B60*(1+E$46)^5-'入力 Inputs'!B61,0)*'入力 Inputs'!B66-MAX(('入力 Inputs'!B60*(1+E$46)^5*$A50+'キャリア Carrier Illust.'!E9*$A50)-('入力 Inputs'!B67+'入力 Inputs'!B7*$A50),0)*'入力 Inputs'!B66/$A50</f>
        <v>791459.16954577342</v>
      </c>
      <c r="F50" s="236">
        <f>MAX('入力 Inputs'!B60*(1+F$46)^5-'入力 Inputs'!B61,0)*'入力 Inputs'!B66-MAX(('入力 Inputs'!B60*(1+F$46)^5*$A50+'キャリア Carrier Illust.'!E9*$A50)-('入力 Inputs'!B67+'入力 Inputs'!B7*$A50),0)*'入力 Inputs'!B66/$A50</f>
        <v>791459.16954577807</v>
      </c>
    </row>
    <row r="51" spans="1:6" x14ac:dyDescent="0.25">
      <c r="A51" s="235">
        <v>170</v>
      </c>
      <c r="B51" s="236">
        <f>MAX('入力 Inputs'!B60*(1+B$46)^5-'入力 Inputs'!B61,0)*'入力 Inputs'!B66-MAX(('入力 Inputs'!B60*(1+B$46)^5*$A51+'キャリア Carrier Illust.'!E9*$A51)-('入力 Inputs'!B67+'入力 Inputs'!B7*$A51),0)*'入力 Inputs'!B66/$A51</f>
        <v>431224.46439871471</v>
      </c>
      <c r="C51" s="236">
        <f>MAX('入力 Inputs'!B60*(1+C$46)^5-'入力 Inputs'!B61,0)*'入力 Inputs'!B66-MAX(('入力 Inputs'!B60*(1+C$46)^5*$A51+'キャリア Carrier Illust.'!E9*$A51)-('入力 Inputs'!B67+'入力 Inputs'!B7*$A51),0)*'入力 Inputs'!B66/$A51</f>
        <v>431224.46439871611</v>
      </c>
      <c r="D51" s="236">
        <f>MAX('入力 Inputs'!B60*(1+D$46)^5-'入力 Inputs'!B61,0)*'入力 Inputs'!B66-MAX(('入力 Inputs'!B60*(1+D$46)^5*$A51+'キャリア Carrier Illust.'!E9*$A51)-('入力 Inputs'!B67+'入力 Inputs'!B7*$A51),0)*'入力 Inputs'!B66/$A51</f>
        <v>431224.46439871844</v>
      </c>
      <c r="E51" s="236">
        <f>MAX('入力 Inputs'!B60*(1+E$46)^5-'入力 Inputs'!B61,0)*'入力 Inputs'!B66-MAX(('入力 Inputs'!B60*(1+E$46)^5*$A51+'キャリア Carrier Illust.'!E9*$A51)-('入力 Inputs'!B67+'入力 Inputs'!B7*$A51),0)*'入力 Inputs'!B66/$A51</f>
        <v>431224.46439871285</v>
      </c>
      <c r="F51" s="236">
        <f>MAX('入力 Inputs'!B60*(1+F$46)^5-'入力 Inputs'!B61,0)*'入力 Inputs'!B66-MAX(('入力 Inputs'!B60*(1+F$46)^5*$A51+'キャリア Carrier Illust.'!E9*$A51)-('入力 Inputs'!B67+'入力 Inputs'!B7*$A51),0)*'入力 Inputs'!B66/$A51</f>
        <v>431224.46439871378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A671-FB85-487C-92F4-2BEB6A0A4925}">
  <dimension ref="A1:F22"/>
  <sheetViews>
    <sheetView workbookViewId="0">
      <selection activeCell="B23" sqref="B23"/>
    </sheetView>
  </sheetViews>
  <sheetFormatPr defaultRowHeight="15" x14ac:dyDescent="0.25"/>
  <cols>
    <col min="1" max="1" width="47.5703125" customWidth="1"/>
    <col min="2" max="2" width="24.7109375" customWidth="1"/>
    <col min="3" max="3" width="17.140625" customWidth="1"/>
    <col min="4" max="5" width="22.85546875" customWidth="1"/>
    <col min="6" max="6" width="17.140625" customWidth="1"/>
  </cols>
  <sheetData>
    <row r="1" spans="1:6" ht="18" x14ac:dyDescent="0.25">
      <c r="A1" s="162" t="str">
        <f>IF('入力 Inputs'!$F$1="English","EXISTING INSURANCE PORTFOLIO SUMMARY",IF('入力 Inputs'!$F$1="日本語","既存保険ポートフォリオ概要","既存保険ポートフォリオ概要 / EXISTING INSURANCE PORTFOLIO SUMMARY"))</f>
        <v>EXISTING INSURANCE PORTFOLIO SUMMARY</v>
      </c>
    </row>
    <row r="2" spans="1:6" x14ac:dyDescent="0.25">
      <c r="A2" s="195" t="str">
        <f>IF('入力 Inputs'!$F$1="English","Takata family existing policies — for reference",IF('入力 Inputs'!$F$1="日本語","高田家の現行保険証券 — 参照用","高田家の現行保険証券 — 参照用 / Takata family existing policies — for reference"))</f>
        <v>Takata family existing policies — for reference</v>
      </c>
    </row>
    <row r="4" spans="1:6" x14ac:dyDescent="0.25">
      <c r="A4" s="220" t="str">
        <f>IF('入力 Inputs'!$F$1="English","Carrier",IF('入力 Inputs'!$F$1="日本語","キャリア","キャリア / Carrier"))</f>
        <v>Carrier</v>
      </c>
      <c r="B4" s="220" t="str">
        <f>IF('入力 Inputs'!$F$1="English","Policy Number",IF('入力 Inputs'!$F$1="日本語","証券番号","証券番号 / Policy Number"))</f>
        <v>Policy Number</v>
      </c>
      <c r="C4" s="220" t="str">
        <f>IF('入力 Inputs'!$F$1="English","Issue Date",IF('入力 Inputs'!$F$1="日本語","発行日","発行日 / Issue Date"))</f>
        <v>Issue Date</v>
      </c>
      <c r="D4" s="220" t="str">
        <f>IF('入力 Inputs'!$F$1="English","Death Benefit",IF('入力 Inputs'!$F$1="日本語","死亡保険金","死亡保険金 / Death Benefit"))</f>
        <v>Death Benefit</v>
      </c>
      <c r="E4" s="220" t="str">
        <f>IF('入力 Inputs'!$F$1="English","Total Premium",IF('入力 Inputs'!$F$1="日本語","支払保険料合計","支払保険料合計 / Total Premium"))</f>
        <v>Total Premium</v>
      </c>
      <c r="F4" s="220" t="str">
        <f>IF('入力 Inputs'!$F$1="English","Type",IF('入力 Inputs'!$F$1="日本語","種類","種類 / Type"))</f>
        <v>Type</v>
      </c>
    </row>
    <row r="5" spans="1:6" x14ac:dyDescent="0.25">
      <c r="A5" s="42" t="s">
        <v>110</v>
      </c>
      <c r="B5" s="42">
        <v>9201157340</v>
      </c>
      <c r="C5" s="224">
        <v>43166</v>
      </c>
      <c r="D5" s="188">
        <v>10000000</v>
      </c>
      <c r="E5" s="188">
        <v>3320000</v>
      </c>
      <c r="F5" s="42" t="s">
        <v>111</v>
      </c>
    </row>
    <row r="6" spans="1:6" x14ac:dyDescent="0.25">
      <c r="A6" s="42" t="s">
        <v>112</v>
      </c>
      <c r="B6" s="42" t="s">
        <v>113</v>
      </c>
      <c r="C6" s="224">
        <v>43293</v>
      </c>
      <c r="D6" s="188">
        <v>33500000</v>
      </c>
      <c r="E6" s="188">
        <v>7000000</v>
      </c>
      <c r="F6" s="42" t="s">
        <v>114</v>
      </c>
    </row>
    <row r="7" spans="1:6" x14ac:dyDescent="0.25">
      <c r="A7" s="42" t="s">
        <v>115</v>
      </c>
      <c r="B7" s="42" t="s">
        <v>116</v>
      </c>
      <c r="C7" s="224">
        <v>43350</v>
      </c>
      <c r="D7" s="188">
        <v>10000000</v>
      </c>
      <c r="E7" s="188">
        <v>1350000</v>
      </c>
      <c r="F7" s="42" t="s">
        <v>117</v>
      </c>
    </row>
    <row r="8" spans="1:6" x14ac:dyDescent="0.25">
      <c r="A8" s="42" t="s">
        <v>118</v>
      </c>
      <c r="B8" s="42" t="s">
        <v>119</v>
      </c>
      <c r="C8" s="224">
        <v>44813</v>
      </c>
      <c r="D8" s="188">
        <v>20000000</v>
      </c>
      <c r="E8" s="188">
        <v>3889368</v>
      </c>
      <c r="F8" s="42" t="s">
        <v>114</v>
      </c>
    </row>
    <row r="9" spans="1:6" x14ac:dyDescent="0.25">
      <c r="A9" s="42" t="s">
        <v>118</v>
      </c>
      <c r="B9" s="42">
        <v>4922053</v>
      </c>
      <c r="C9" s="224">
        <v>43587</v>
      </c>
      <c r="D9" s="188">
        <v>10000000</v>
      </c>
      <c r="E9" s="188">
        <v>1300308</v>
      </c>
      <c r="F9" s="42" t="s">
        <v>114</v>
      </c>
    </row>
    <row r="10" spans="1:6" x14ac:dyDescent="0.25">
      <c r="A10" s="201" t="str">
        <f>IF('入力 Inputs'!$F$1="English","TOTAL",IF('入力 Inputs'!$F$1="日本語","合計","合計 / TOTAL"))</f>
        <v>TOTAL</v>
      </c>
      <c r="B10" s="121"/>
      <c r="C10" s="121"/>
      <c r="D10" s="200">
        <f>SUM(D5:D9)</f>
        <v>83500000</v>
      </c>
      <c r="E10" s="200">
        <f>SUM(E5:E9)</f>
        <v>16859676</v>
      </c>
      <c r="F10" s="121"/>
    </row>
    <row r="12" spans="1:6" x14ac:dyDescent="0.25">
      <c r="A12" s="205" t="str">
        <f>IF('入力 Inputs'!$F$1="English","KEY METRICS",IF('入力 Inputs'!$F$1="日本語","主要指標","主要指標 / KEY METRICS"))</f>
        <v>KEY METRICS</v>
      </c>
      <c r="B12" s="205"/>
      <c r="C12" s="205"/>
    </row>
    <row r="13" spans="1:6" x14ac:dyDescent="0.25">
      <c r="A13" s="42" t="str">
        <f>IF('入力 Inputs'!$F$1="English","Total Death Benefit",IF('入力 Inputs'!$F$1="日本語","死亡保険金合計","死亡保険金合計 / Total Death Benefit"))</f>
        <v>Total Death Benefit</v>
      </c>
      <c r="B13" s="106">
        <f>D10</f>
        <v>83500000</v>
      </c>
    </row>
    <row r="14" spans="1:6" x14ac:dyDescent="0.25">
      <c r="A14" s="42" t="str">
        <f>IF('入力 Inputs'!$F$1="English","Total Premiums Paid",IF('入力 Inputs'!$F$1="日本語","保険料合計","保険料合計 / Total Premiums Paid"))</f>
        <v>Total Premiums Paid</v>
      </c>
      <c r="B14" s="106">
        <f>E10</f>
        <v>16859676</v>
      </c>
    </row>
    <row r="15" spans="1:6" x14ac:dyDescent="0.25">
      <c r="A15" s="42" t="str">
        <f>IF('入力 Inputs'!$F$1="English","Premium-to-DB Ratio",IF('入力 Inputs'!$F$1="日本語","保険料対DB比率","保険料対DB比率 / Premium-to-DB Ratio"))</f>
        <v>Premium-to-DB Ratio</v>
      </c>
      <c r="B15" s="221">
        <f>D10/E10</f>
        <v>4.9526455905795581</v>
      </c>
    </row>
    <row r="16" spans="1:6" x14ac:dyDescent="0.25">
      <c r="A16" s="42" t="str">
        <f>IF('入力 Inputs'!$F$1="English","Current CSV (USD)",IF('入力 Inputs'!$F$1="日本語","現行CSV（米ドル）","現行CSV（米ドル） / Current CSV (USD)"))</f>
        <v>Current CSV (USD)</v>
      </c>
      <c r="B16" s="106">
        <f>'入力 Inputs'!B60</f>
        <v>18963106</v>
      </c>
    </row>
    <row r="17" spans="1:2" x14ac:dyDescent="0.25">
      <c r="A17" s="42" t="str">
        <f>IF('入力 Inputs'!$F$1="English","Basis (USD)",IF('入力 Inputs'!$F$1="日本語","基準額（米ドル）","基準額（米ドル） / Basis (USD)"))</f>
        <v>Basis (USD)</v>
      </c>
      <c r="B17" s="106">
        <f>'入力 Inputs'!B61</f>
        <v>16195676</v>
      </c>
    </row>
    <row r="18" spans="1:2" x14ac:dyDescent="0.25">
      <c r="A18" s="42" t="str">
        <f>IF('入力 Inputs'!$F$1="English","Unrealized Gain",IF('入力 Inputs'!$F$1="日本語","未実現利益","未実現利益 / Unrealized Gain"))</f>
        <v>Unrealized Gain</v>
      </c>
      <c r="B18" s="199">
        <f>B16-B17</f>
        <v>2767430</v>
      </c>
    </row>
    <row r="19" spans="1:2" x14ac:dyDescent="0.25">
      <c r="A19" s="42" t="str">
        <f>IF('入力 Inputs'!$F$1="English","Number of Policies (4 are MECs)",IF('入力 Inputs'!$F$1="日本語","証券数（4つはMEC）","証券数（4つはMEC） / Number of Policies (4 are MECs)"))</f>
        <v>Number of Policies (4 are MECs)</v>
      </c>
      <c r="B19" t="s">
        <v>120</v>
      </c>
    </row>
    <row r="20" spans="1:2" x14ac:dyDescent="0.25">
      <c r="A20" s="42"/>
    </row>
    <row r="21" spans="1:2" x14ac:dyDescent="0.25">
      <c r="A21" s="42" t="str">
        <f>IF('入力 Inputs'!$F$1="English","LLC Dissolution Date",IF('入力 Inputs'!$F$1="日本語","LLC解散日","LLC解散日 / LLC Dissolution Date"))</f>
        <v>LLC Dissolution Date</v>
      </c>
      <c r="B21" s="222">
        <v>46023</v>
      </c>
    </row>
    <row r="22" spans="1:2" x14ac:dyDescent="0.25">
      <c r="A22" s="42" t="str">
        <f>IF('入力 Inputs'!$F$1="English","Trust Creation Date",IF('入力 Inputs'!$F$1="日本語","信託設立日","信託設立日 / Trust Creation Date"))</f>
        <v>Trust Creation Date</v>
      </c>
      <c r="B22" s="223">
        <v>46030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CC2B-5298-420F-874F-37ED4D7173C7}">
  <dimension ref="A1:D28"/>
  <sheetViews>
    <sheetView workbookViewId="0">
      <selection activeCell="D20" sqref="D20:D24"/>
    </sheetView>
  </sheetViews>
  <sheetFormatPr defaultRowHeight="15" x14ac:dyDescent="0.25"/>
  <cols>
    <col min="1" max="1" width="57.140625" customWidth="1"/>
    <col min="2" max="2" width="24.7109375" customWidth="1"/>
    <col min="3" max="3" width="19" customWidth="1"/>
  </cols>
  <sheetData>
    <row r="1" spans="1:3" ht="20.25" x14ac:dyDescent="0.3">
      <c r="A1" s="32" t="str">
        <f>IF('入力 Inputs'!$F$1="English","EXECUTIVE SUMMARY",IF('入力 Inputs'!$F$1="日本語","エグゼクティブサマリー","エグゼクティブサマリー / EXECUTIVE SUMMARY"))</f>
        <v>EXECUTIVE SUMMARY</v>
      </c>
    </row>
    <row r="2" spans="1:3" x14ac:dyDescent="0.25">
      <c r="A2" s="195" t="str">
        <f>IF('入力 Inputs'!$F$1="English","PPVA Master Tool — Key figures at a glance (print-ready)",IF('入力 Inputs'!$F$1="日本語","PPVAマスターツール — 主要数値の概要（1ページ印刷用）","PPVAマスターツール — 主要数値の概要（1ページ印刷用） / PPVA Master Tool — Key figures at a glance (print-ready)"))</f>
        <v>PPVA Master Tool — Key figures at a glance (print-ready)</v>
      </c>
    </row>
    <row r="4" spans="1:3" x14ac:dyDescent="0.25">
      <c r="A4" s="205" t="str">
        <f>IF('入力 Inputs'!$F$1="English","DEAL STRUCTURE",IF('入力 Inputs'!$F$1="日本語","取引構造","取引構造 / DEAL STRUCTURE"))</f>
        <v>DEAL STRUCTURE</v>
      </c>
      <c r="B4" s="205"/>
      <c r="C4" s="205"/>
    </row>
    <row r="5" spans="1:3" x14ac:dyDescent="0.25">
      <c r="A5" s="42" t="str">
        <f>IF('入力 Inputs'!$F$1="English","Total Deposit",IF('入力 Inputs'!$F$1="日本語","預入総額","預入総額 / Total Deposit"))</f>
        <v>Total Deposit</v>
      </c>
      <c r="B5" s="106">
        <f>'入力 Inputs'!B7</f>
        <v>13000000</v>
      </c>
    </row>
    <row r="6" spans="1:3" x14ac:dyDescent="0.25">
      <c r="A6" s="42" t="str">
        <f>IF('入力 Inputs'!$F$1="English","Net to Policy",IF('入力 Inputs'!$F$1="日本語","正味保険料","正味保険料 / Net to Policy"))</f>
        <v>Net to Policy</v>
      </c>
      <c r="B6" s="106">
        <f>'入力 Inputs'!B87</f>
        <v>12090000</v>
      </c>
    </row>
    <row r="7" spans="1:3" x14ac:dyDescent="0.25">
      <c r="A7" s="42" t="str">
        <f>IF('入力 Inputs'!$F$1="English","Guaranteed Allocation",IF('入力 Inputs'!$F$1="日本語","保証配分率","保証配分率 / Guaranteed Allocation"))</f>
        <v>Guaranteed Allocation</v>
      </c>
      <c r="B7" s="225">
        <f>SUM('入力 Inputs'!B25:'入力 Inputs'!B27)</f>
        <v>0.75</v>
      </c>
    </row>
    <row r="8" spans="1:3" x14ac:dyDescent="0.25">
      <c r="A8" s="42" t="str">
        <f>IF('入力 Inputs'!$F$1="English","Gross Weighted Return",IF('入力 Inputs'!$F$1="日本語","加重グロスリターン","加重グロスリターン / Gross Weighted Return"))</f>
        <v>Gross Weighted Return</v>
      </c>
      <c r="B8" s="194">
        <f>'入力 Inputs'!E32</f>
        <v>6.2524999999999997E-2</v>
      </c>
    </row>
    <row r="9" spans="1:3" x14ac:dyDescent="0.25">
      <c r="A9" s="42"/>
    </row>
    <row r="10" spans="1:3" x14ac:dyDescent="0.25">
      <c r="A10" s="151" t="str">
        <f>IF('入力 Inputs'!$F$1="English","PROJECTED FUND VALUE (Base Rate)",IF('入力 Inputs'!$F$1="日本語","予測ファンド価値（基準率）","予測ファンド価値（基準率） / PROJECTED FUND VALUE (Base Rate)"))</f>
        <v>PROJECTED FUND VALUE (Base Rate)</v>
      </c>
      <c r="B10" s="193"/>
      <c r="C10" s="193"/>
    </row>
    <row r="11" spans="1:3" x14ac:dyDescent="0.25">
      <c r="A11" s="42" t="str">
        <f>IF('入力 Inputs'!$F$1="English","Year 10 Fund Value",IF('入力 Inputs'!$F$1="日本語","10年目ファンド価値","10年目ファンド価値 / Year 10 Fund Value"))</f>
        <v>Year 10 Fund Value</v>
      </c>
      <c r="B11" s="106">
        <f>'キャリア Carrier Illust.'!D14</f>
        <v>21840425.268666591</v>
      </c>
    </row>
    <row r="12" spans="1:3" x14ac:dyDescent="0.25">
      <c r="A12" s="42" t="str">
        <f>IF('入力 Inputs'!$F$1="English","Year 10 Surrender Value",IF('入力 Inputs'!$F$1="日本語","10年目解約返戻金","10年目解約返戻金 / Year 10 Surrender Value"))</f>
        <v>Year 10 Surrender Value</v>
      </c>
      <c r="B12" s="106">
        <f>'キャリア Carrier Illust.'!E14</f>
        <v>21840425.268666591</v>
      </c>
    </row>
    <row r="13" spans="1:3" x14ac:dyDescent="0.25">
      <c r="A13" s="42" t="str">
        <f>IF('入力 Inputs'!$F$1="English","Year 30 Fund Value",IF('入力 Inputs'!$F$1="日本語","30年目ファンド価値","30年目ファンド価値 / Year 30 Fund Value"))</f>
        <v>Year 30 Fund Value</v>
      </c>
      <c r="B13" s="199">
        <f>'キャリア Carrier Illust.'!D34</f>
        <v>71278245.617633775</v>
      </c>
    </row>
    <row r="14" spans="1:3" x14ac:dyDescent="0.25">
      <c r="A14" s="42"/>
    </row>
    <row r="15" spans="1:3" x14ac:dyDescent="0.25">
      <c r="A15" s="231" t="str">
        <f>IF('入力 Inputs'!$F$1="English","TAX IMPACT",IF('入力 Inputs'!$F$1="日本語","税金への影響","税金への影響 / TAX IMPACT"))</f>
        <v>TAX IMPACT</v>
      </c>
      <c r="B15" s="226"/>
      <c r="C15" s="226"/>
    </row>
    <row r="16" spans="1:3" x14ac:dyDescent="0.25">
      <c r="A16" s="42" t="str">
        <f>IF('入力 Inputs'!$F$1="English","Year 1 Tax Savings",IF('入力 Inputs'!$F$1="日本語","1年目税金節約額","1年目税金節約額 / Year 1 Tax Savings"))</f>
        <v>Year 1 Tax Savings</v>
      </c>
      <c r="B16" s="227">
        <f>'税金 Tax Impact'!D27</f>
        <v>2147868.9979999997</v>
      </c>
    </row>
    <row r="17" spans="1:4" x14ac:dyDescent="0.25">
      <c r="A17" s="42" t="str">
        <f>IF('入力 Inputs'!$F$1="English","Year 5 Tax Savings",IF('入力 Inputs'!$F$1="日本語","5年目税金節約額","5年目税金節約額 / Year 5 Tax Savings"))</f>
        <v>Year 5 Tax Savings</v>
      </c>
      <c r="B17" s="106">
        <f>'税金 Tax Impact'!D29</f>
        <v>791459.16954577714</v>
      </c>
    </row>
    <row r="18" spans="1:4" x14ac:dyDescent="0.25">
      <c r="A18" s="42" t="str">
        <f>IF('入力 Inputs'!$F$1="English","Estimated Tax Event (without PPVA)",IF('入力 Inputs'!$F$1="日本語","推定税事象（PPVAなし）","推定税事象（PPVAなし） / Estimated Tax Event (without PPVA)"))</f>
        <v>Estimated Tax Event (without PPVA)</v>
      </c>
      <c r="B18" s="175">
        <f>'税金 Tax Impact'!B8</f>
        <v>1522086.5000000002</v>
      </c>
    </row>
    <row r="19" spans="1:4" x14ac:dyDescent="0.25">
      <c r="A19" s="42"/>
    </row>
    <row r="20" spans="1:4" x14ac:dyDescent="0.25">
      <c r="A20" s="232" t="str">
        <f>IF('入力 Inputs'!$F$1="English","INCOME BY PARTY",IF('入力 Inputs'!$F$1="日本語","当事者別収入","当事者別収入 / INCOME BY PARTY"))</f>
        <v>INCOME BY PARTY</v>
      </c>
      <c r="B20" s="228"/>
      <c r="C20" s="228"/>
      <c r="D20" s="279"/>
    </row>
    <row r="21" spans="1:4" x14ac:dyDescent="0.25">
      <c r="A21" s="42" t="str">
        <f>IF('入力 Inputs'!$F$1="English","Ohana Firm (upfront)",IF('入力 Inputs'!$F$1="日本語","Ohana事務所（前払い）","Ohana事務所（前払い） / Ohana Firm (upfront)"))</f>
        <v>Ohana Firm (upfront)</v>
      </c>
      <c r="B21" s="106">
        <f>'マスター Master'!B18</f>
        <v>351000</v>
      </c>
      <c r="D21" s="279"/>
    </row>
    <row r="22" spans="1:4" x14ac:dyDescent="0.25">
      <c r="A22" s="42" t="str">
        <f>IF('入力 Inputs'!$F$1="English","PBWR (upfront)",IF('入力 Inputs'!$F$1="日本語","PBWR（前払い）","PBWR（前払い） / PBWR (upfront)"))</f>
        <v>PBWR (upfront)</v>
      </c>
      <c r="B22" s="106">
        <f>'マスター Master'!B17</f>
        <v>351000</v>
      </c>
      <c r="D22" s="279"/>
    </row>
    <row r="23" spans="1:4" x14ac:dyDescent="0.25">
      <c r="A23" s="42" t="str">
        <f>IF('入力 Inputs'!$F$1="English","RIA Year 1 Fee",IF('入力 Inputs'!$F$1="日本語","RIA 1年目手数料","RIA 1年目手数料 / RIA Year 1 Fee"))</f>
        <v>RIA Year 1 Fee</v>
      </c>
      <c r="B23" s="106">
        <f>'マスター Master'!C21</f>
        <v>18103.5</v>
      </c>
      <c r="D23" s="279"/>
    </row>
    <row r="24" spans="1:4" x14ac:dyDescent="0.25">
      <c r="A24" s="42" t="str">
        <f>IF('入力 Inputs'!$F$1="English","Money Manager Year 1 Fee",IF('入力 Inputs'!$F$1="日本語","マネーマネージャー1年目手数料","マネーマネージャー1年目手数料 / Money Manager Year 1 Fee"))</f>
        <v>Money Manager Year 1 Fee</v>
      </c>
      <c r="B24" s="106">
        <f>'計算 Calculations'!D49</f>
        <v>0</v>
      </c>
      <c r="D24" s="279"/>
    </row>
    <row r="25" spans="1:4" x14ac:dyDescent="0.25">
      <c r="A25" s="42"/>
    </row>
    <row r="26" spans="1:4" x14ac:dyDescent="0.25">
      <c r="A26" s="168" t="str">
        <f>IF('入力 Inputs'!$F$1="English","NET RETURN TO CLIENT",IF('入力 Inputs'!$F$1="日本語","顧客への正味リターン","顧客への正味リターン / NET RETURN TO CLIENT"))</f>
        <v>NET RETURN TO CLIENT</v>
      </c>
      <c r="B26" s="205"/>
      <c r="C26" s="205"/>
    </row>
    <row r="27" spans="1:4" ht="18.75" x14ac:dyDescent="0.3">
      <c r="A27" s="42" t="str">
        <f>IF('入力 Inputs'!$F$1="English","Net Return (after all fees)",IF('入力 Inputs'!$F$1="日本語","正味リターン（手数料控除後）","正味リターン（手数料控除後） / Net Return (after all fees)"))</f>
        <v>Net Return (after all fees)</v>
      </c>
      <c r="B27" s="229">
        <f>'マスター Master'!B56</f>
        <v>5.9015192721257229E-2</v>
      </c>
    </row>
    <row r="28" spans="1:4" ht="18.75" x14ac:dyDescent="0.3">
      <c r="A28" s="42" t="str">
        <f>IF('入力 Inputs'!$F$1="English","Break-Even Year (Surrender Value &gt; Deposit)",IF('入力 Inputs'!$F$1="日本語","損益分岐年（解約返戻金 &gt; 預入額）","損益分岐年（解約返戻金 &gt; 預入額） / Break-Even Year (Surrender Value &gt; Deposit)"))</f>
        <v>Break-Even Year (Surrender Value &gt; Deposit)</v>
      </c>
      <c r="B28" s="230">
        <f>'キャリア Carrier Illust.'!B129</f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7698-8405-48DE-96C5-43AC84F76A85}">
  <sheetPr>
    <tabColor rgb="FF1F4E79"/>
  </sheetPr>
  <dimension ref="A1:F97"/>
  <sheetViews>
    <sheetView workbookViewId="0">
      <selection activeCell="A42" sqref="A42"/>
    </sheetView>
  </sheetViews>
  <sheetFormatPr defaultRowHeight="15" outlineLevelRow="1" x14ac:dyDescent="0.25"/>
  <cols>
    <col min="1" max="1" width="70.42578125" customWidth="1"/>
    <col min="2" max="5" width="26.7109375" customWidth="1"/>
    <col min="6" max="6" width="49.5703125" customWidth="1"/>
  </cols>
  <sheetData>
    <row r="1" spans="1:6" ht="20.25" x14ac:dyDescent="0.3">
      <c r="A1" s="32" t="str">
        <f>IF('入力 Inputs'!$F$1="English","PPVA DEAL MODEL — INCOME DASHBOARD",IF('入力 Inputs'!$F$1="日本語","PPVA取引モデル — 収益ダッシュボード","PPVA取引モデル — 収益ダッシュボード / PPVA DEAL MODEL — INCOME DASHBOARD"))</f>
        <v>PPVA DEAL MODEL — INCOME DASHBOARD</v>
      </c>
    </row>
    <row r="2" spans="1:6" x14ac:dyDescent="0.25">
      <c r="A2" s="33" t="str">
        <f>IF('入力 Inputs'!$F$1="English","Change inputs on the Inputs tab to update all numbers and charts automatically",IF('入力 Inputs'!$F$1="日本語","インタラクティブ計算 — 入力タブで変更すると自動更新","インタラクティブ計算 — 入力タブで変更すると自動更新 / Change inputs on the Inputs tab to update all numbers and charts automatically"))</f>
        <v>Change inputs on the Inputs tab to update all numbers and charts automatically</v>
      </c>
    </row>
    <row r="4" spans="1:6" x14ac:dyDescent="0.25">
      <c r="A4" s="34" t="str">
        <f>IF('入力 Inputs'!$F$1="English","DEAL OVERVIEW",IF('入力 Inputs'!$F$1="日本語","取引概要","取引概要 / DEAL OVERVIEW"))</f>
        <v>DEAL OVERVIEW</v>
      </c>
      <c r="B4" s="35"/>
      <c r="C4" s="35"/>
      <c r="D4" s="35"/>
      <c r="E4" s="35"/>
      <c r="F4" s="35"/>
    </row>
    <row r="5" spans="1:6" x14ac:dyDescent="0.25">
      <c r="A5" s="36" t="str">
        <f>IF('入力 Inputs'!$F$1="English","Total Deposit",IF('入力 Inputs'!$F$1="日本語","預入総額","預入総額 / Total Deposit"))</f>
        <v>Total Deposit</v>
      </c>
      <c r="B5" s="38">
        <f>'入力 Inputs'!B7</f>
        <v>13000000</v>
      </c>
    </row>
    <row r="6" spans="1:6" x14ac:dyDescent="0.25">
      <c r="A6" s="36" t="str">
        <f>IF('入力 Inputs'!$F$1="English","Less: Premium Load (7%)",IF('入力 Inputs'!$F$1="日本語","差引：プレミアムロード（7%）","差引：プレミアムロード（7%） / Less: Premium Load (7%)"))</f>
        <v>Less: Premium Load (7%)</v>
      </c>
      <c r="B6" s="39">
        <f>-'計算 Calculations'!B8</f>
        <v>-910000</v>
      </c>
    </row>
    <row r="7" spans="1:6" x14ac:dyDescent="0.25">
      <c r="A7" s="36" t="str">
        <f>IF('入力 Inputs'!$F$1="English","Less: Admin &amp; Bank Fees",IF('入力 Inputs'!$F$1="日本語","差引：管理・銀行手数料","差引：管理・銀行手数料 / Less: Admin &amp; Bank Fees"))</f>
        <v>Less: Admin &amp; Bank Fees</v>
      </c>
      <c r="B7" s="39">
        <f>-'計算 Calculations'!B21</f>
        <v>-21000</v>
      </c>
    </row>
    <row r="8" spans="1:6" ht="15.75" thickBot="1" x14ac:dyDescent="0.3">
      <c r="A8" s="76" t="str">
        <f>IF('入力 Inputs'!$F$1="English","Net to Inspira",IF('入力 Inputs'!$F$1="日本語","インスピラへの正味送金額","インスピラへの正味送金額 / Net to Inspira"))</f>
        <v>Net to Inspira</v>
      </c>
      <c r="B8" s="77">
        <f>'計算 Calculations'!B23</f>
        <v>12069000</v>
      </c>
    </row>
    <row r="9" spans="1:6" x14ac:dyDescent="0.25">
      <c r="A9" s="36" t="str">
        <f>IF('入力 Inputs'!$F$1="English","Guaranteed Allocation (75%)",IF('入力 Inputs'!$F$1="日本語","保証配分（75%）","保証配分（75%） / Guaranteed Allocation (75%)"))</f>
        <v>Guaranteed Allocation (75%)</v>
      </c>
      <c r="B9" s="40">
        <f>'計算 Calculations'!C31</f>
        <v>9051750</v>
      </c>
    </row>
    <row r="10" spans="1:6" x14ac:dyDescent="0.25">
      <c r="A10" s="36" t="str">
        <f>IF('入力 Inputs'!$F$1="English","Non-Guaranteed Allocation (25%)",IF('入力 Inputs'!$F$1="日本語","非保証配分（25%）","非保証配分（25%） / Non-Guaranteed Allocation (25%)"))</f>
        <v>Non-Guaranteed Allocation (25%)</v>
      </c>
      <c r="B10" s="40">
        <f>'計算 Calculations'!C37</f>
        <v>3017250</v>
      </c>
    </row>
    <row r="11" spans="1:6" x14ac:dyDescent="0.25">
      <c r="A11" s="37" t="str">
        <f>IF('入力 Inputs'!$F$1="English","Gross Weighted Return",IF('入力 Inputs'!$F$1="日本語","加重グロスリターン","加重グロスリターン / Gross Weighted Return"))</f>
        <v>Gross Weighted Return</v>
      </c>
      <c r="B11" s="41">
        <f>'計算 Calculations'!E39</f>
        <v>6.2524999999999997E-2</v>
      </c>
    </row>
    <row r="13" spans="1:6" x14ac:dyDescent="0.25">
      <c r="A13" s="34" t="str">
        <f>IF('入力 Inputs'!$F$1="English","INCOME BY PARTY — WHO EARNS WHAT BY WHEN",IF('入力 Inputs'!$F$1="日本語","各当事者の収入","各当事者の収入 / INCOME BY PARTY — WHO EARNS WHAT BY WHEN"))</f>
        <v>INCOME BY PARTY — WHO EARNS WHAT BY WHEN</v>
      </c>
      <c r="B13" s="35"/>
      <c r="C13" s="35"/>
      <c r="D13" s="35"/>
      <c r="E13" s="35"/>
      <c r="F13" s="35"/>
    </row>
    <row r="14" spans="1:6" x14ac:dyDescent="0.25">
      <c r="A14" s="61" t="str">
        <f>IF('入力 Inputs'!$F$1="English","Party",IF('入力 Inputs'!$F$1="日本語","当事者","当事者 / Party"))</f>
        <v>Party</v>
      </c>
      <c r="B14" s="61" t="s">
        <v>1</v>
      </c>
      <c r="C14" s="61" t="s">
        <v>2</v>
      </c>
      <c r="D14" s="61" t="s">
        <v>3</v>
      </c>
      <c r="E14" s="61" t="s">
        <v>4</v>
      </c>
      <c r="F14" s="61" t="s">
        <v>5</v>
      </c>
    </row>
    <row r="15" spans="1:6" x14ac:dyDescent="0.25">
      <c r="A15" s="266" t="str">
        <f>IF('入力 Inputs'!$F$1="English","Syndicated Capital",IF('入力 Inputs'!$F$1="日本語","Syndicated Capital","Syndicated Capital"))</f>
        <v>Syndicated Capital</v>
      </c>
      <c r="B15" s="267">
        <f>'計算 Calculations'!B11</f>
        <v>39000</v>
      </c>
      <c r="C15" s="268" t="s">
        <v>6</v>
      </c>
      <c r="D15" s="267">
        <f>B15</f>
        <v>39000</v>
      </c>
      <c r="E15" s="267">
        <f>B15</f>
        <v>39000</v>
      </c>
      <c r="F15" s="269" t="s">
        <v>133</v>
      </c>
    </row>
    <row r="16" spans="1:6" x14ac:dyDescent="0.25">
      <c r="A16" s="266" t="str">
        <f>IF('入力 Inputs'!$F$1="English","PB Investment Services",IF('入力 Inputs'!$F$1="日本語","PB Investment Services","PB Investment Services"))</f>
        <v>PB Investment Services</v>
      </c>
      <c r="B16" s="267">
        <f>'計算 Calculations'!B13</f>
        <v>39000</v>
      </c>
      <c r="C16" s="268" t="s">
        <v>6</v>
      </c>
      <c r="D16" s="267">
        <f>B16</f>
        <v>39000</v>
      </c>
      <c r="E16" s="267">
        <f>B16</f>
        <v>39000</v>
      </c>
      <c r="F16" s="269" t="s">
        <v>133</v>
      </c>
    </row>
    <row r="17" spans="1:6" x14ac:dyDescent="0.25">
      <c r="A17" s="270" t="str">
        <f>IF('入力 Inputs'!$F$1="English","PBWR",IF('入力 Inputs'!$F$1="日本語","PBWR","PBWR"))</f>
        <v>PBWR</v>
      </c>
      <c r="B17" s="271">
        <f>'計算 Calculations'!B15</f>
        <v>351000</v>
      </c>
      <c r="C17" s="268" t="s">
        <v>6</v>
      </c>
      <c r="D17" s="271">
        <f>B17</f>
        <v>351000</v>
      </c>
      <c r="E17" s="271">
        <f>B17</f>
        <v>351000</v>
      </c>
      <c r="F17" s="273" t="s">
        <v>134</v>
      </c>
    </row>
    <row r="18" spans="1:6" x14ac:dyDescent="0.25">
      <c r="A18" s="274" t="str">
        <f>IF('入力 Inputs'!$F$1="English","Ohana Firm",IF('入力 Inputs'!$F$1="日本語","Ohana事務所","Ohana事務所 / Ohana Firm"))</f>
        <v>Ohana Firm</v>
      </c>
      <c r="B18" s="66">
        <f>'計算 Calculations'!B16</f>
        <v>351000</v>
      </c>
      <c r="C18" s="272" t="s">
        <v>6</v>
      </c>
      <c r="D18" s="66">
        <f>B18</f>
        <v>351000</v>
      </c>
      <c r="E18" s="66">
        <f>B18</f>
        <v>351000</v>
      </c>
      <c r="F18" s="67" t="s">
        <v>8</v>
      </c>
    </row>
    <row r="19" spans="1:6" x14ac:dyDescent="0.25">
      <c r="A19" s="62" t="str">
        <f>IF('入力 Inputs'!$F$1="English","3cStructures",IF('入力 Inputs'!$F$1="日本語","3cStructures","3cStructures / 3cStructures"))</f>
        <v>3cStructures</v>
      </c>
      <c r="B19" s="63">
        <f>'計算 Calculations'!B7</f>
        <v>130000</v>
      </c>
      <c r="C19" s="64" t="s">
        <v>6</v>
      </c>
      <c r="D19" s="63">
        <f>B19</f>
        <v>130000</v>
      </c>
      <c r="E19" s="63">
        <f>B19</f>
        <v>130000</v>
      </c>
      <c r="F19" s="65" t="s">
        <v>10</v>
      </c>
    </row>
    <row r="20" spans="1:6" x14ac:dyDescent="0.25">
      <c r="A20" s="62" t="str">
        <f>IF('入力 Inputs'!$F$1="English","Marketing Allowance (Regional)",IF('入力 Inputs'!$F$1="日本語","マーケティング手当（リージョナル）","マーケティング手当（リージョナル） / Marketing Allowance (Regional)"))</f>
        <v>Marketing Allowance (Regional)</v>
      </c>
      <c r="B20" s="63">
        <f>'計算 Calculations'!I39</f>
        <v>388320.07500000001</v>
      </c>
      <c r="C20" s="64" t="s">
        <v>6</v>
      </c>
      <c r="D20" s="63">
        <f>B20</f>
        <v>388320.07500000001</v>
      </c>
      <c r="E20" s="63">
        <f>B20</f>
        <v>388320.07500000001</v>
      </c>
      <c r="F20" s="65" t="s">
        <v>11</v>
      </c>
    </row>
    <row r="21" spans="1:6" x14ac:dyDescent="0.25">
      <c r="A21" s="68" t="str">
        <f>IF('入力 Inputs'!$F$1="English","RIA / Investment Advisor",IF('入力 Inputs'!$F$1="日本語","RIA / 投資アドバイザー","RIA / 投資アドバイザー / RIA / Investment Advisor"))</f>
        <v>RIA / Investment Advisor</v>
      </c>
      <c r="B21" s="69" t="s">
        <v>6</v>
      </c>
      <c r="C21" s="70">
        <f>'計算 Calculations'!D47</f>
        <v>18103.5</v>
      </c>
      <c r="D21" s="70">
        <f>C83</f>
        <v>102566.84939943609</v>
      </c>
      <c r="E21" s="70">
        <f>C88</f>
        <v>241467.02722695546</v>
      </c>
      <c r="F21" s="71" t="s">
        <v>12</v>
      </c>
    </row>
    <row r="22" spans="1:6" x14ac:dyDescent="0.25">
      <c r="A22" s="62" t="str">
        <f>IF('入力 Inputs'!$F$1="English","Advantage (M&amp;E)",IF('入力 Inputs'!$F$1="日本語","Advantage（M&amp;E）","Advantage（M&amp;E） / Advantage (M&amp;E)"))</f>
        <v>Advantage (M&amp;E)</v>
      </c>
      <c r="B22" s="64" t="s">
        <v>6</v>
      </c>
      <c r="C22" s="63">
        <f>'計算 Calculations'!D46</f>
        <v>18103.5</v>
      </c>
      <c r="D22" s="63">
        <f>SUM('計算 Calculations'!D54:D58)</f>
        <v>102566.84939943609</v>
      </c>
      <c r="E22" s="63">
        <f>SUM('計算 Calculations'!D54:D63)</f>
        <v>241467.02722695548</v>
      </c>
      <c r="F22" s="65" t="s">
        <v>14</v>
      </c>
    </row>
    <row r="23" spans="1:6" x14ac:dyDescent="0.25">
      <c r="A23" s="62" t="str">
        <f>IF('入力 Inputs'!$F$1="English","Inspira (Custodian)",IF('入力 Inputs'!$F$1="日本語","インスピラ（保管料）","インスピラ（保管料） / Inspira (Custodian)"))</f>
        <v>Inspira (Custodian)</v>
      </c>
      <c r="B23" s="64" t="s">
        <v>6</v>
      </c>
      <c r="C23" s="63">
        <f>'計算 Calculations'!D48</f>
        <v>6034.5</v>
      </c>
      <c r="D23" s="63">
        <f>SUM('計算 Calculations'!F54:F58)</f>
        <v>34188.949799812035</v>
      </c>
      <c r="E23" s="63">
        <f>SUM('計算 Calculations'!F54:F63)</f>
        <v>80489.009075651818</v>
      </c>
      <c r="F23" s="65" t="s">
        <v>16</v>
      </c>
    </row>
    <row r="24" spans="1:6" x14ac:dyDescent="0.25">
      <c r="A24" s="265" t="str">
        <f>IF('入力 Inputs'!$F$1="English","Money Manager",IF('入力 Inputs'!$F$1="日本語","マネーマネージャー","マネーマネージャー / Money Manager"))</f>
        <v>Money Manager</v>
      </c>
      <c r="B24" s="268" t="s">
        <v>6</v>
      </c>
      <c r="C24" s="267">
        <f>'計算 Calculations'!D49</f>
        <v>0</v>
      </c>
      <c r="D24" s="267">
        <f>SUM('計算 Calculations'!G54:G58)</f>
        <v>0</v>
      </c>
      <c r="E24" s="267">
        <f>SUM('計算 Calculations'!G54:G63)</f>
        <v>0</v>
      </c>
      <c r="F24" s="269" t="s">
        <v>141</v>
      </c>
    </row>
    <row r="25" spans="1:6" x14ac:dyDescent="0.25">
      <c r="A25" s="72"/>
      <c r="B25" s="72"/>
      <c r="C25" s="72"/>
      <c r="D25" s="72"/>
      <c r="E25" s="72"/>
      <c r="F25" s="72"/>
    </row>
    <row r="26" spans="1:6" ht="15.75" thickBot="1" x14ac:dyDescent="0.3">
      <c r="A26" s="73" t="str">
        <f>IF('入力 Inputs'!$F$1="English","TOTAL DEAL ECONOMICS",IF('入力 Inputs'!$F$1="日本語","取引経済合計","取引経済合計 / TOTAL DEAL ECONOMICS"))</f>
        <v>TOTAL DEAL ECONOMICS</v>
      </c>
      <c r="B26" s="74">
        <f>B15+B16+B17+B18+B19+B20</f>
        <v>1298320.075</v>
      </c>
      <c r="C26" s="74">
        <f>C21+C22+C23+C24</f>
        <v>42241.5</v>
      </c>
      <c r="D26" s="74">
        <f>SUM(D15:D24)</f>
        <v>1537642.723598684</v>
      </c>
      <c r="E26" s="74">
        <f>SUM(E15:E24)</f>
        <v>1861743.1385295626</v>
      </c>
      <c r="F26" s="75"/>
    </row>
    <row r="28" spans="1:6" x14ac:dyDescent="0.25">
      <c r="A28" s="44" t="str">
        <f>IF('入力 Inputs'!$F$1="English","WHY AN RIA WANTS TO WORK WITH YOU",IF('入力 Inputs'!$F$1="日本語","RIAがあなたと仕事をしたい理由","RIAがあなたと仕事をしたい理由 / WHY AN RIA WANTS TO WORK WITH YOU"))</f>
        <v>WHY AN RIA WANTS TO WORK WITH YOU</v>
      </c>
      <c r="B28" s="45"/>
      <c r="C28" s="45"/>
      <c r="D28" s="45"/>
      <c r="E28" s="45"/>
      <c r="F28" s="45"/>
    </row>
    <row r="29" spans="1:6" x14ac:dyDescent="0.25">
      <c r="A29" s="36" t="str">
        <f>IF('入力 Inputs'!$F$1="English","Annual Advisory Revenue (0.15%)",IF('入力 Inputs'!$F$1="日本語","年間アドバイザリー収入（0.15%）","年間アドバイザリー収入（0.15%） / Annual Advisory Revenue (0.15%)"))</f>
        <v>Annual Advisory Revenue (0.15%)</v>
      </c>
      <c r="B29" s="46">
        <f>C21</f>
        <v>18103.5</v>
      </c>
    </row>
    <row r="30" spans="1:6" x14ac:dyDescent="0.25">
      <c r="A30" s="36" t="str">
        <f>IF('入力 Inputs'!$F$1="English","5-Year Cumulative Revenue",IF('入力 Inputs'!$F$1="日本語","5年累積収入","5年累積収入 / 5-Year Cumulative Revenue"))</f>
        <v>5-Year Cumulative Revenue</v>
      </c>
      <c r="B30" s="46">
        <f>D21</f>
        <v>102566.84939943609</v>
      </c>
    </row>
    <row r="31" spans="1:6" x14ac:dyDescent="0.25">
      <c r="A31" s="36" t="str">
        <f>IF('入力 Inputs'!$F$1="English","10-Year Cumulative Revenue",IF('入力 Inputs'!$F$1="日本語","10年累積収入","10年累積収入 / 10-Year Cumulative Revenue"))</f>
        <v>10-Year Cumulative Revenue</v>
      </c>
      <c r="B31" s="46">
        <f>E21</f>
        <v>241467.02722695546</v>
      </c>
    </row>
    <row r="32" spans="1:6" x14ac:dyDescent="0.25">
      <c r="A32" s="36" t="str">
        <f>IF('入力 Inputs'!$F$1="English","AUM Added to Practice",IF('入力 Inputs'!$F$1="日本語","プラクティスへのAUM追加","プラクティスへのAUM追加 / AUM Added to Practice"))</f>
        <v>AUM Added to Practice</v>
      </c>
      <c r="B32" s="46">
        <f>'計算 Calculations'!B23</f>
        <v>12069000</v>
      </c>
    </row>
    <row r="33" spans="1:6" x14ac:dyDescent="0.25">
      <c r="A33" s="36" t="s">
        <v>17</v>
      </c>
      <c r="B33" s="47">
        <f>'計算 Calculations'!E39</f>
        <v>6.2524999999999997E-2</v>
      </c>
    </row>
    <row r="35" spans="1:6" x14ac:dyDescent="0.25">
      <c r="A35" s="48" t="s">
        <v>104</v>
      </c>
    </row>
    <row r="36" spans="1:6" x14ac:dyDescent="0.25">
      <c r="A36" s="48" t="s">
        <v>105</v>
      </c>
    </row>
    <row r="38" spans="1:6" x14ac:dyDescent="0.25">
      <c r="A38" s="49" t="str">
        <f>IF('入力 Inputs'!$F$1="English","WHY AN OHANA FIRM WANTS TO INTRODUCE THEIR CLIENT",IF('入力 Inputs'!$F$1="日本語","Ohana事務所が顧客を紹介したい理由","Ohana事務所が顧客を紹介したい理由 / WHY AN OHANA FIRM WANTS TO INTRODUCE THEIR CLIENT"))</f>
        <v>WHY AN OHANA FIRM WANTS TO INTRODUCE THEIR CLIENT</v>
      </c>
      <c r="B38" s="50"/>
      <c r="C38" s="50"/>
      <c r="D38" s="50"/>
      <c r="E38" s="50"/>
      <c r="F38" s="50"/>
    </row>
    <row r="39" spans="1:6" x14ac:dyDescent="0.25">
      <c r="A39" s="36" t="str">
        <f>IF('入力 Inputs'!$F$1="English","Upfront Program Income (50% of net after holdbacks)",IF('入力 Inputs'!$F$1="日本語","前払いプログラム収入（ホールドバック後のネットの50%）","前払いプログラム収入（ホールドバック後のネットの50%） / Upfront Program Income (50% of net after holdbacks)"))</f>
        <v>Upfront Program Income (50% of net after holdbacks)</v>
      </c>
      <c r="B39" s="51">
        <f>B18</f>
        <v>351000</v>
      </c>
    </row>
    <row r="40" spans="1:6" x14ac:dyDescent="0.25">
      <c r="A40" s="36" t="str">
        <f>IF('入力 Inputs'!$F$1="English","As % of Client Deposit",IF('入力 Inputs'!$F$1="日本語","顧客預入額に対する割合","顧客預入額に対する割合 / As % of Client Deposit"))</f>
        <v>As % of Client Deposit</v>
      </c>
      <c r="B40" s="52">
        <f>B18/'入力 Inputs'!B7</f>
        <v>2.7E-2</v>
      </c>
    </row>
    <row r="41" spans="1:6" x14ac:dyDescent="0.25">
      <c r="A41" s="36" t="str">
        <f>IF('入力 Inputs'!$F$1="English","Ohana Share % (of net load)",IF('入力 Inputs'!$F$1="日本語","Ohana分配率（ネットロードの%）","Ohana分配率（ネットロードの%） / Ohana Share % (of net load)"))</f>
        <v>Ohana Share % (of net load)</v>
      </c>
      <c r="B41" s="53">
        <f>'入力 Inputs'!B16</f>
        <v>0.5</v>
      </c>
    </row>
    <row r="42" spans="1:6" x14ac:dyDescent="0.25">
      <c r="A42" s="36" t="str">
        <f>IF('入力 Inputs'!$F$1="English","Client Net Assets Working",IF('入力 Inputs'!$F$1="日本語","顧客の正味運用資産","顧客の正味運用資産 / Client Net Assets Working"))</f>
        <v>Client Net Assets Working</v>
      </c>
      <c r="B42" s="51">
        <f>'計算 Calculations'!B23</f>
        <v>12069000</v>
      </c>
    </row>
    <row r="44" spans="1:6" x14ac:dyDescent="0.25">
      <c r="A44" s="54" t="s">
        <v>138</v>
      </c>
    </row>
    <row r="45" spans="1:6" x14ac:dyDescent="0.25">
      <c r="A45" s="54" t="s">
        <v>106</v>
      </c>
    </row>
    <row r="46" spans="1:6" x14ac:dyDescent="0.25">
      <c r="A46" s="54" t="s">
        <v>107</v>
      </c>
    </row>
    <row r="48" spans="1:6" x14ac:dyDescent="0.25">
      <c r="A48" s="168" t="str">
        <f>IF('入力 Inputs'!$F$1="English","NET-TO-CLIENT RETURN WATERFALL",IF('入力 Inputs'!$F$1="日本語","顧客への正味リターンウォーターフォール","顧客への正味リターンウォーターフォール / NET-TO-CLIENT RETURN WATERFALL"))</f>
        <v>NET-TO-CLIENT RETURN WATERFALL</v>
      </c>
      <c r="B48" s="168"/>
      <c r="C48" s="168"/>
    </row>
    <row r="49" spans="1:6" x14ac:dyDescent="0.25">
      <c r="A49" s="201" t="str">
        <f>IF('入力 Inputs'!$F$1="English","Item",IF('入力 Inputs'!$F$1="日本語","項目","項目 / Item"))</f>
        <v>Item</v>
      </c>
      <c r="B49" s="201" t="str">
        <f>IF('入力 Inputs'!$F$1="English","Rate",IF('入力 Inputs'!$F$1="日本語","率","率 / Rate"))</f>
        <v>Rate</v>
      </c>
      <c r="C49" s="201" t="str">
        <f>IF('入力 Inputs'!$F$1="English","Notes",IF('入力 Inputs'!$F$1="日本語","備考","備考 / Notes"))</f>
        <v>Notes</v>
      </c>
    </row>
    <row r="50" spans="1:6" x14ac:dyDescent="0.25">
      <c r="A50" s="42" t="str">
        <f>IF('入力 Inputs'!$F$1="English","Gross Weighted Return",IF('入力 Inputs'!$F$1="日本語","加重グロスリターン","加重グロスリターン / Gross Weighted Return"))</f>
        <v>Gross Weighted Return</v>
      </c>
      <c r="B50" s="206">
        <f>'入力 Inputs'!E32</f>
        <v>6.2524999999999997E-2</v>
      </c>
      <c r="C50" s="195" t="str">
        <f>IF('入力 Inputs'!$F$1="English","Weighted avg of fund allocations",IF('入力 Inputs'!$F$1="日本語","ファンド配分の加重平均","ファンド配分の加重平均 / Weighted avg of fund allocations"))</f>
        <v>Weighted avg of fund allocations</v>
      </c>
    </row>
    <row r="51" spans="1:6" x14ac:dyDescent="0.25">
      <c r="A51" s="42" t="str">
        <f>IF('入力 Inputs'!$F$1="English","Less: Advantage M&amp;E",IF('入力 Inputs'!$F$1="日本語","差引：Advantage M&amp;E","差引：Advantage M&amp;E / Less: Advantage M&amp;E"))</f>
        <v>Less: Advantage M&amp;E</v>
      </c>
      <c r="B51" s="207">
        <f>-'入力 Inputs'!B41</f>
        <v>-1.5E-3</v>
      </c>
      <c r="C51" s="195"/>
    </row>
    <row r="52" spans="1:6" x14ac:dyDescent="0.25">
      <c r="A52" s="42" t="str">
        <f>IF('入力 Inputs'!$F$1="English","Less: RIA Advisory Fee",IF('入力 Inputs'!$F$1="日本語","差引：RIAアドバイザリー手数料","差引：RIAアドバイザリー手数料 / Less: RIA Advisory Fee"))</f>
        <v>Less: RIA Advisory Fee</v>
      </c>
      <c r="B52" s="207">
        <f>-'入力 Inputs'!B42</f>
        <v>-1.5E-3</v>
      </c>
      <c r="C52" s="195"/>
    </row>
    <row r="53" spans="1:6" x14ac:dyDescent="0.25">
      <c r="A53" s="42" t="str">
        <f>IF('入力 Inputs'!$F$1="English","Less: Inspira Custodian",IF('入力 Inputs'!$F$1="日本語","差引：インスピラ保管料","差引：インスピラ保管料 / Less: Inspira Custodian"))</f>
        <v>Less: Inspira Custodian</v>
      </c>
      <c r="B53" s="207">
        <f>-'入力 Inputs'!B43</f>
        <v>-5.0000000000000001E-4</v>
      </c>
      <c r="C53" s="195"/>
    </row>
    <row r="54" spans="1:6" x14ac:dyDescent="0.25">
      <c r="A54" s="42" t="str">
        <f>IF('入力 Inputs'!$F$1="English","Less: Money Manager (non-guaranteed only)",IF('入力 Inputs'!$F$1="日本語","差引：マネーマネージャー手数料（非保証分のみ）","差引：マネーマネージャー手数料（非保証分のみ） / Less: Money Manager (non-guaranteed only)"))</f>
        <v>Less: Money Manager (non-guaranteed only)</v>
      </c>
      <c r="B54" s="207">
        <f>-'入力 Inputs'!B44*('入力 Inputs'!B29+'入力 Inputs'!B30+'入力 Inputs'!B31)</f>
        <v>0</v>
      </c>
      <c r="C54" s="195" t="str">
        <f>IF('入力 Inputs'!$F$1="English","Applied to non-guaranteed allocation only",IF('入力 Inputs'!$F$1="日本語","非保証配分のみに適用","非保証配分のみに適用 / Applied to non-guaranteed allocation only"))</f>
        <v>Applied to non-guaranteed allocation only</v>
      </c>
    </row>
    <row r="55" spans="1:6" x14ac:dyDescent="0.25">
      <c r="A55" s="42" t="str">
        <f>IF('入力 Inputs'!$F$1="English","Less: Est. COI (Year 1 equivalent)",IF('入力 Inputs'!$F$1="日本語","差引：推定COI（初年度相当）","差引：推定COI（初年度相当） / Less: Est. COI (Year 1 equivalent)"))</f>
        <v>Less: Est. COI (Year 1 equivalent)</v>
      </c>
      <c r="B55" s="208">
        <f>-'入力 Inputs'!B57/'入力 Inputs'!B87</f>
        <v>-9.8072787427626137E-6</v>
      </c>
    </row>
    <row r="56" spans="1:6" x14ac:dyDescent="0.25">
      <c r="A56" s="78" t="str">
        <f>IF('入力 Inputs'!$F$1="English","NET RETURN TO CLIENT (Est.)",IF('入力 Inputs'!$F$1="日本語","顧客への正味リターン（推定）","顧客への正味リターン（推定） / NET RETURN TO CLIENT (Est.)"))</f>
        <v>NET RETURN TO CLIENT (Est.)</v>
      </c>
      <c r="B56" s="209">
        <f>B50+B51+B52+B53+B54+B55</f>
        <v>5.9015192721257229E-2</v>
      </c>
      <c r="C56" s="121"/>
    </row>
    <row r="60" spans="1:6" outlineLevel="1" x14ac:dyDescent="0.25">
      <c r="A60" s="34" t="str">
        <f>IF('入力 Inputs'!$F$1="English","CHART DATA",IF('入力 Inputs'!$F$1="日本語","チャートデータ","チャートデータ / CHART DATA"))</f>
        <v>CHART DATA</v>
      </c>
      <c r="B60" s="35"/>
      <c r="C60" s="35"/>
      <c r="D60" s="35"/>
      <c r="E60" s="35"/>
      <c r="F60" s="35"/>
    </row>
    <row r="61" spans="1:6" outlineLevel="1" x14ac:dyDescent="0.25">
      <c r="A61" s="55" t="str">
        <f>IF('入力 Inputs'!$F$1="English","Fund Allocation",IF('入力 Inputs'!$F$1="日本語","ファンド配分","ファンド配分 / Fund Allocation"))</f>
        <v>Fund Allocation</v>
      </c>
      <c r="B61" s="58" t="s">
        <v>18</v>
      </c>
    </row>
    <row r="62" spans="1:6" outlineLevel="1" x14ac:dyDescent="0.25">
      <c r="A62" s="56" t="s">
        <v>19</v>
      </c>
      <c r="B62" s="59">
        <f>'計算 Calculations'!C28</f>
        <v>4224150</v>
      </c>
    </row>
    <row r="63" spans="1:6" outlineLevel="1" x14ac:dyDescent="0.25">
      <c r="A63" s="56" t="s">
        <v>20</v>
      </c>
      <c r="B63" s="59">
        <f>'計算 Calculations'!C29</f>
        <v>3017250</v>
      </c>
    </row>
    <row r="64" spans="1:6" outlineLevel="1" x14ac:dyDescent="0.25">
      <c r="A64" s="56" t="s">
        <v>21</v>
      </c>
      <c r="B64" s="59">
        <f>'計算 Calculations'!C30</f>
        <v>1810350</v>
      </c>
    </row>
    <row r="65" spans="1:3" outlineLevel="1" x14ac:dyDescent="0.25">
      <c r="A65" s="56" t="s">
        <v>22</v>
      </c>
      <c r="B65" s="59">
        <f>'計算 Calculations'!C34</f>
        <v>1206900</v>
      </c>
    </row>
    <row r="66" spans="1:3" outlineLevel="1" x14ac:dyDescent="0.25">
      <c r="A66" s="56" t="s">
        <v>23</v>
      </c>
      <c r="B66" s="59">
        <f>'計算 Calculations'!C35</f>
        <v>1206900</v>
      </c>
    </row>
    <row r="67" spans="1:3" outlineLevel="1" x14ac:dyDescent="0.25">
      <c r="A67" s="56" t="s">
        <v>24</v>
      </c>
      <c r="B67" s="59">
        <f>'計算 Calculations'!C36</f>
        <v>603450</v>
      </c>
    </row>
    <row r="68" spans="1:3" outlineLevel="1" x14ac:dyDescent="0.25"/>
    <row r="69" spans="1:3" outlineLevel="1" x14ac:dyDescent="0.25">
      <c r="A69" s="57" t="str">
        <f>IF('入力 Inputs'!$F$1="English","Upfront Income",IF('入力 Inputs'!$F$1="日本語","前払い収入","前払い収入 / Upfront Income"))</f>
        <v>Upfront Income</v>
      </c>
      <c r="B69" s="58" t="s">
        <v>1</v>
      </c>
      <c r="C69" s="58" t="s">
        <v>2</v>
      </c>
    </row>
    <row r="70" spans="1:3" outlineLevel="1" x14ac:dyDescent="0.25">
      <c r="A70" s="56" t="s">
        <v>142</v>
      </c>
      <c r="B70" s="59">
        <f>B15</f>
        <v>39000</v>
      </c>
      <c r="C70" s="59">
        <v>0</v>
      </c>
    </row>
    <row r="71" spans="1:3" outlineLevel="1" x14ac:dyDescent="0.25">
      <c r="A71" s="56" t="s">
        <v>136</v>
      </c>
      <c r="B71" s="59">
        <f>B16</f>
        <v>39000</v>
      </c>
      <c r="C71" s="59">
        <v>0</v>
      </c>
    </row>
    <row r="72" spans="1:3" outlineLevel="1" x14ac:dyDescent="0.25">
      <c r="A72" s="56" t="s">
        <v>137</v>
      </c>
      <c r="B72" s="59">
        <f>B17</f>
        <v>351000</v>
      </c>
      <c r="C72" s="59">
        <v>0</v>
      </c>
    </row>
    <row r="73" spans="1:3" outlineLevel="1" x14ac:dyDescent="0.25">
      <c r="A73" s="56" t="s">
        <v>7</v>
      </c>
      <c r="B73" s="59">
        <f>B18</f>
        <v>351000</v>
      </c>
      <c r="C73" s="59">
        <v>0</v>
      </c>
    </row>
    <row r="74" spans="1:3" outlineLevel="1" x14ac:dyDescent="0.25">
      <c r="A74" s="56" t="s">
        <v>9</v>
      </c>
      <c r="B74" s="59">
        <f>B19</f>
        <v>130000</v>
      </c>
      <c r="C74" s="59">
        <v>0</v>
      </c>
    </row>
    <row r="75" spans="1:3" outlineLevel="1" x14ac:dyDescent="0.25">
      <c r="A75" s="56" t="s">
        <v>25</v>
      </c>
      <c r="B75" s="59">
        <v>0</v>
      </c>
      <c r="C75" s="59">
        <f>C21</f>
        <v>18103.5</v>
      </c>
    </row>
    <row r="76" spans="1:3" outlineLevel="1" x14ac:dyDescent="0.25">
      <c r="A76" s="277" t="s">
        <v>140</v>
      </c>
      <c r="B76" s="278">
        <v>0</v>
      </c>
      <c r="C76" s="278">
        <f>C24</f>
        <v>0</v>
      </c>
    </row>
    <row r="77" spans="1:3" outlineLevel="1" x14ac:dyDescent="0.25"/>
    <row r="78" spans="1:3" outlineLevel="1" x14ac:dyDescent="0.25">
      <c r="A78" s="57" t="str">
        <f>IF('入力 Inputs'!$F$1="English","Year",IF('入力 Inputs'!$F$1="日本語","年","年 / Year"))</f>
        <v>Year</v>
      </c>
      <c r="B78" s="58" t="s">
        <v>27</v>
      </c>
      <c r="C78" s="58" t="s">
        <v>28</v>
      </c>
    </row>
    <row r="79" spans="1:3" outlineLevel="1" x14ac:dyDescent="0.25">
      <c r="A79" s="56" t="s">
        <v>29</v>
      </c>
      <c r="B79" s="59">
        <f>C21</f>
        <v>18103.5</v>
      </c>
      <c r="C79" s="59">
        <f>B79</f>
        <v>18103.5</v>
      </c>
    </row>
    <row r="80" spans="1:3" outlineLevel="1" x14ac:dyDescent="0.25">
      <c r="A80" s="56" t="s">
        <v>30</v>
      </c>
      <c r="B80" s="59">
        <f>B79*(1+'入力 Inputs'!$B$51)</f>
        <v>19235.4213375</v>
      </c>
      <c r="C80" s="59">
        <f t="shared" ref="C80:C88" si="0">C79+B80</f>
        <v>37338.921337499996</v>
      </c>
    </row>
    <row r="81" spans="1:4" outlineLevel="1" x14ac:dyDescent="0.25">
      <c r="A81" s="56" t="s">
        <v>31</v>
      </c>
      <c r="B81" s="59">
        <f>B80*(1+'入力 Inputs'!$B$51)</f>
        <v>20438.116056627186</v>
      </c>
      <c r="C81" s="59">
        <f t="shared" si="0"/>
        <v>57777.037394127183</v>
      </c>
    </row>
    <row r="82" spans="1:4" outlineLevel="1" x14ac:dyDescent="0.25">
      <c r="A82" s="56" t="s">
        <v>32</v>
      </c>
      <c r="B82" s="59">
        <f>B81*(1+'入力 Inputs'!$B$51)</f>
        <v>21716.009263067801</v>
      </c>
      <c r="C82" s="59">
        <f t="shared" si="0"/>
        <v>79493.04665719498</v>
      </c>
    </row>
    <row r="83" spans="1:4" outlineLevel="1" x14ac:dyDescent="0.25">
      <c r="A83" s="56" t="s">
        <v>33</v>
      </c>
      <c r="B83" s="59">
        <f>B82*(1+'入力 Inputs'!$B$51)</f>
        <v>23073.802742241114</v>
      </c>
      <c r="C83" s="59">
        <f t="shared" si="0"/>
        <v>102566.84939943609</v>
      </c>
    </row>
    <row r="84" spans="1:4" outlineLevel="1" x14ac:dyDescent="0.25">
      <c r="A84" s="56" t="s">
        <v>34</v>
      </c>
      <c r="B84" s="59">
        <f>B83*(1+'入力 Inputs'!$B$51)</f>
        <v>24516.492258699738</v>
      </c>
      <c r="C84" s="59">
        <f t="shared" si="0"/>
        <v>127083.34165813583</v>
      </c>
    </row>
    <row r="85" spans="1:4" outlineLevel="1" x14ac:dyDescent="0.25">
      <c r="A85" s="56" t="s">
        <v>35</v>
      </c>
      <c r="B85" s="59">
        <f>B84*(1+'入力 Inputs'!$B$51)</f>
        <v>26049.385937174939</v>
      </c>
      <c r="C85" s="59">
        <f t="shared" si="0"/>
        <v>153132.72759531077</v>
      </c>
    </row>
    <row r="86" spans="1:4" outlineLevel="1" x14ac:dyDescent="0.25">
      <c r="A86" s="56" t="s">
        <v>36</v>
      </c>
      <c r="B86" s="59">
        <f>B85*(1+'入力 Inputs'!$B$51)</f>
        <v>27678.1237928968</v>
      </c>
      <c r="C86" s="59">
        <f t="shared" si="0"/>
        <v>180810.85138820758</v>
      </c>
    </row>
    <row r="87" spans="1:4" outlineLevel="1" x14ac:dyDescent="0.25">
      <c r="A87" s="56" t="s">
        <v>37</v>
      </c>
      <c r="B87" s="59">
        <f>B86*(1+'入力 Inputs'!$B$51)</f>
        <v>29408.698483047672</v>
      </c>
      <c r="C87" s="59">
        <f t="shared" si="0"/>
        <v>210219.54987125524</v>
      </c>
    </row>
    <row r="88" spans="1:4" outlineLevel="1" x14ac:dyDescent="0.25">
      <c r="A88" s="56" t="s">
        <v>38</v>
      </c>
      <c r="B88" s="59">
        <f>B87*(1+'入力 Inputs'!$B$51)</f>
        <v>31247.477355700226</v>
      </c>
      <c r="C88" s="59">
        <f t="shared" si="0"/>
        <v>241467.02722695546</v>
      </c>
    </row>
    <row r="89" spans="1:4" outlineLevel="1" x14ac:dyDescent="0.25"/>
    <row r="90" spans="1:4" outlineLevel="1" x14ac:dyDescent="0.25">
      <c r="A90" s="57" t="str">
        <f>IF('入力 Inputs'!$F$1="English","Key Party Comparison",IF('入力 Inputs'!$F$1="日本語","主要当事者比較","主要当事者比較 / Key Party Comparison"))</f>
        <v>Key Party Comparison</v>
      </c>
      <c r="B90" s="58" t="s">
        <v>1</v>
      </c>
      <c r="C90" s="58" t="s">
        <v>4</v>
      </c>
    </row>
    <row r="91" spans="1:4" outlineLevel="1" x14ac:dyDescent="0.25">
      <c r="A91" s="56" t="s">
        <v>7</v>
      </c>
      <c r="B91" s="59">
        <f>B18</f>
        <v>351000</v>
      </c>
      <c r="C91" s="59">
        <f>E18</f>
        <v>351000</v>
      </c>
    </row>
    <row r="92" spans="1:4" outlineLevel="1" x14ac:dyDescent="0.25">
      <c r="A92" s="56" t="s">
        <v>25</v>
      </c>
      <c r="B92" s="59">
        <v>0</v>
      </c>
      <c r="C92" s="59">
        <f>E21</f>
        <v>241467.02722695546</v>
      </c>
    </row>
    <row r="93" spans="1:4" outlineLevel="1" x14ac:dyDescent="0.25"/>
    <row r="94" spans="1:4" outlineLevel="1" x14ac:dyDescent="0.25">
      <c r="A94" s="57" t="str">
        <f>IF('入力 Inputs'!$F$1="English","Commission Tier",IF('入力 Inputs'!$F$1="日本語","コミッション階層","コミッション階層 / Commission Tier"))</f>
        <v>Commission Tier</v>
      </c>
      <c r="B94" s="58" t="s">
        <v>39</v>
      </c>
      <c r="C94" s="58" t="s">
        <v>40</v>
      </c>
      <c r="D94" s="58" t="s">
        <v>41</v>
      </c>
    </row>
    <row r="95" spans="1:4" outlineLevel="1" x14ac:dyDescent="0.25">
      <c r="A95" s="56" t="s">
        <v>19</v>
      </c>
      <c r="B95" s="59">
        <f>'計算 Calculations'!F28</f>
        <v>211207.5</v>
      </c>
      <c r="C95" s="59">
        <f>'計算 Calculations'!H28</f>
        <v>200647.125</v>
      </c>
      <c r="D95" s="59">
        <f>'計算 Calculations'!I28</f>
        <v>190086.75</v>
      </c>
    </row>
    <row r="96" spans="1:4" outlineLevel="1" x14ac:dyDescent="0.25">
      <c r="A96" s="56" t="s">
        <v>20</v>
      </c>
      <c r="B96" s="59">
        <f>'計算 Calculations'!F29</f>
        <v>129741.74999999999</v>
      </c>
      <c r="C96" s="59">
        <f>'計算 Calculations'!H29</f>
        <v>123254.66249999999</v>
      </c>
      <c r="D96" s="59">
        <f>'計算 Calculations'!I29</f>
        <v>116767.575</v>
      </c>
    </row>
    <row r="97" spans="1:4" outlineLevel="1" x14ac:dyDescent="0.25">
      <c r="A97" s="56" t="s">
        <v>21</v>
      </c>
      <c r="B97" s="59">
        <f>'計算 Calculations'!F30</f>
        <v>140302.125</v>
      </c>
      <c r="C97" s="60" t="s">
        <v>42</v>
      </c>
      <c r="D97" s="59">
        <f>'計算 Calculations'!I30</f>
        <v>81465.75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A9A2-F99A-4541-BB97-755148FFB1F8}">
  <sheetPr>
    <tabColor rgb="FF2E75B6"/>
  </sheetPr>
  <dimension ref="A1:F23"/>
  <sheetViews>
    <sheetView tabSelected="1" workbookViewId="0">
      <selection activeCell="B23" sqref="B23"/>
    </sheetView>
  </sheetViews>
  <sheetFormatPr defaultRowHeight="15" x14ac:dyDescent="0.25"/>
  <cols>
    <col min="1" max="1" width="62.85546875" customWidth="1"/>
    <col min="2" max="2" width="24.7109375" customWidth="1"/>
    <col min="4" max="5" width="9.140625" customWidth="1"/>
  </cols>
  <sheetData>
    <row r="1" spans="1:6" ht="20.25" x14ac:dyDescent="0.3">
      <c r="A1" s="115" t="str">
        <f>IF('入力 Inputs'!$F$1="English","OHANA FIRM — YOUR DEAL INCOME",IF('入力 Inputs'!$F$1="日本語","Ohana事務所 — あなたの取引収入","Ohana事務所 — あなたの取引収入 / OHANA FIRM — YOUR DEAL INCOME"))</f>
        <v>OHANA FIRM — YOUR DEAL INCOME</v>
      </c>
      <c r="B1" s="50"/>
      <c r="C1" s="50"/>
      <c r="E1" s="114" t="s">
        <v>0</v>
      </c>
      <c r="F1" s="114" t="s">
        <v>44</v>
      </c>
    </row>
    <row r="2" spans="1:6" x14ac:dyDescent="0.25">
      <c r="A2" s="116" t="str">
        <f>IF('入力 Inputs'!$F$1="English","Private Placement Variable Annuity — Program Income Opportunity",IF('入力 Inputs'!$F$1="日本語","プライベートプレースメント変額年金 — プログラム収入機会","プライベートプレースメント変額年金 — プログラム収入機会 / Private Placement Variable Annuity — Program Income Opportunity"))</f>
        <v>Private Placement Variable Annuity — Program Income Opportunity</v>
      </c>
      <c r="B2" s="50"/>
      <c r="C2" s="50"/>
      <c r="E2" s="114" t="s">
        <v>135</v>
      </c>
      <c r="F2" s="114">
        <f>'計算 Calculations'!B11</f>
        <v>39000</v>
      </c>
    </row>
    <row r="3" spans="1:6" x14ac:dyDescent="0.25">
      <c r="E3" s="114" t="s">
        <v>9</v>
      </c>
      <c r="F3" s="114">
        <f>'計算 Calculations'!B7</f>
        <v>130000</v>
      </c>
    </row>
    <row r="4" spans="1:6" x14ac:dyDescent="0.25">
      <c r="A4" s="100" t="str">
        <f>IF('入力 Inputs'!$F$1="English","DEAL SIZE",IF('入力 Inputs'!$F$1="日本語","取引規模","取引規模 / DEAL SIZE"))</f>
        <v>DEAL SIZE</v>
      </c>
      <c r="B4" s="35"/>
      <c r="C4" s="35"/>
      <c r="E4" s="114" t="s">
        <v>136</v>
      </c>
      <c r="F4" s="114">
        <f>'計算 Calculations'!B13</f>
        <v>39000</v>
      </c>
    </row>
    <row r="5" spans="1:6" x14ac:dyDescent="0.25">
      <c r="A5" s="94" t="str">
        <f>IF('入力 Inputs'!$F$1="English","Client Deposit",IF('入力 Inputs'!$F$1="日本語","顧客預入額","顧客預入額 / Client Deposit"))</f>
        <v>Client Deposit</v>
      </c>
      <c r="B5" s="101">
        <f>'入力 Inputs'!B7</f>
        <v>13000000</v>
      </c>
      <c r="E5" s="114" t="s">
        <v>7</v>
      </c>
      <c r="F5" s="192">
        <f>B8</f>
        <v>351000</v>
      </c>
    </row>
    <row r="6" spans="1:6" x14ac:dyDescent="0.25">
      <c r="E6" s="114" t="s">
        <v>46</v>
      </c>
      <c r="F6" s="114" t="s">
        <v>44</v>
      </c>
    </row>
    <row r="7" spans="1:6" x14ac:dyDescent="0.25">
      <c r="A7" s="100" t="str">
        <f>IF('入力 Inputs'!$F$1="English","YOUR PROGRAM INCOME",IF('入力 Inputs'!$F$1="日本語","あなたのプログラム収入","あなたのプログラム収入 / YOUR PROGRAM INCOME"))</f>
        <v>YOUR PROGRAM INCOME</v>
      </c>
      <c r="B7" s="102" t="s">
        <v>44</v>
      </c>
      <c r="C7" s="35"/>
      <c r="E7" s="114" t="s">
        <v>45</v>
      </c>
      <c r="F7" s="192">
        <f>B13</f>
        <v>9051750</v>
      </c>
    </row>
    <row r="8" spans="1:6" ht="23.25" x14ac:dyDescent="0.35">
      <c r="A8" s="94" t="str">
        <f>IF('入力 Inputs'!$F$1="English","Upfront Program Income",IF('入力 Inputs'!$F$1="日本語","前払いプログラム収入","前払いプログラム収入 / Upfront Program Income"))</f>
        <v>Upfront Program Income</v>
      </c>
      <c r="B8" s="117">
        <f>'計算 Calculations'!B16</f>
        <v>351000</v>
      </c>
      <c r="C8" s="104" t="s">
        <v>83</v>
      </c>
      <c r="E8" s="114" t="s">
        <v>47</v>
      </c>
      <c r="F8" s="114">
        <f>'計算 Calculations'!C37</f>
        <v>3017250</v>
      </c>
    </row>
    <row r="9" spans="1:6" x14ac:dyDescent="0.25">
      <c r="A9" s="118" t="str">
        <f>IF('入力 Inputs'!$F$1="English","As % of Client Deposit",IF('入力 Inputs'!$F$1="日本語","顧客預入額に対する割合","顧客預入額に対する割合 / As % of Client Deposit"))</f>
        <v>As % of Client Deposit</v>
      </c>
      <c r="B9" s="119">
        <f>B8/B5</f>
        <v>2.7E-2</v>
      </c>
    </row>
    <row r="11" spans="1:6" x14ac:dyDescent="0.25">
      <c r="A11" s="100" t="str">
        <f>IF('入力 Inputs'!$F$1="English","CLIENT OUTCOME",IF('入力 Inputs'!$F$1="日本語","顧客の成果","顧客の成果 / CLIENT OUTCOME"))</f>
        <v>CLIENT OUTCOME</v>
      </c>
      <c r="B11" s="35"/>
      <c r="C11" s="35"/>
    </row>
    <row r="12" spans="1:6" x14ac:dyDescent="0.25">
      <c r="A12" s="94" t="str">
        <f>IF('入力 Inputs'!$F$1="English","Net Invested for Client",IF('入力 Inputs'!$F$1="日本語","顧客の正味投資額","顧客の正味投資額 / Net Invested for Client"))</f>
        <v>Net Invested for Client</v>
      </c>
      <c r="B12" s="103">
        <f>'計算 Calculations'!B23</f>
        <v>12069000</v>
      </c>
    </row>
    <row r="13" spans="1:6" x14ac:dyDescent="0.25">
      <c r="A13" s="94" t="str">
        <f>IF('入力 Inputs'!$F$1="English","In Guaranteed Products (75%)",IF('入力 Inputs'!$F$1="日本語","保証商品に投資（75%）","保証商品に投資（75%） / In Guaranteed Products (75%)"))</f>
        <v>In Guaranteed Products (75%)</v>
      </c>
      <c r="B13" s="103">
        <f>'計算 Calculations'!C31</f>
        <v>9051750</v>
      </c>
    </row>
    <row r="14" spans="1:6" x14ac:dyDescent="0.25">
      <c r="A14" s="94" t="str">
        <f>IF('入力 Inputs'!$F$1="English","Gross Weighted Return",IF('入力 Inputs'!$F$1="日本語","加重グロスリターン","加重グロスリターン / Gross Weighted Return"))</f>
        <v>Gross Weighted Return</v>
      </c>
      <c r="B14" s="120">
        <f>'入力 Inputs'!B51</f>
        <v>6.2524999999999997E-2</v>
      </c>
    </row>
    <row r="15" spans="1:6" x14ac:dyDescent="0.25">
      <c r="A15" s="94" t="str">
        <f>IF('入力 Inputs'!$F$1="English","Net Return to Client (est.)",IF('入力 Inputs'!$F$1="日本語","顧客への正味リターン（推定）","顧客への正味リターン（推定） / Net Return to Client (est.)"))</f>
        <v>Net Return to Client (est.)</v>
      </c>
      <c r="B15" s="120">
        <f>B14-'計算 Calculations'!B50</f>
        <v>5.9024999999999994E-2</v>
      </c>
    </row>
    <row r="17" spans="1:3" x14ac:dyDescent="0.25">
      <c r="A17" s="100" t="str">
        <f>IF('入力 Inputs'!$F$1="English","SCALE: INCOME BY DEPOSIT SIZE",IF('入力 Inputs'!$F$1="日本語","規模別収入一覧","規模別収入一覧 / SCALE: INCOME BY DEPOSIT SIZE"))</f>
        <v>SCALE: INCOME BY DEPOSIT SIZE</v>
      </c>
      <c r="B17" s="35"/>
      <c r="C17" s="35"/>
    </row>
    <row r="18" spans="1:3" x14ac:dyDescent="0.25">
      <c r="A18" s="108" t="str">
        <f>IF('入力 Inputs'!$F$1="English","Deposit Size",IF('入力 Inputs'!$F$1="日本語","預入額","預入額 / Deposit Size"))</f>
        <v>Deposit Size</v>
      </c>
      <c r="B18" s="110" t="s">
        <v>43</v>
      </c>
      <c r="C18" s="121"/>
    </row>
    <row r="19" spans="1:3" x14ac:dyDescent="0.25">
      <c r="A19" s="122">
        <v>5000000</v>
      </c>
      <c r="B19" s="103">
        <f>5000000*'入力 Inputs'!B11*(1-'入力 Inputs'!B13-'入力 Inputs'!B14)*'入力 Inputs'!B16</f>
        <v>135000</v>
      </c>
    </row>
    <row r="20" spans="1:3" x14ac:dyDescent="0.25">
      <c r="A20" s="122">
        <v>10000000</v>
      </c>
      <c r="B20" s="103">
        <f>10000000*'入力 Inputs'!B11*(1-'入力 Inputs'!B13-'入力 Inputs'!B14)*'入力 Inputs'!B16</f>
        <v>270000</v>
      </c>
    </row>
    <row r="21" spans="1:3" x14ac:dyDescent="0.25">
      <c r="A21" s="123">
        <f>'入力 Inputs'!B7</f>
        <v>13000000</v>
      </c>
      <c r="B21" s="124">
        <f>B8</f>
        <v>351000</v>
      </c>
    </row>
    <row r="22" spans="1:3" x14ac:dyDescent="0.25">
      <c r="A22" s="122">
        <v>20000000</v>
      </c>
      <c r="B22" s="103">
        <f>20000000*'入力 Inputs'!B11*(1-'入力 Inputs'!B13-'入力 Inputs'!B14)*'入力 Inputs'!B16</f>
        <v>540000</v>
      </c>
    </row>
    <row r="23" spans="1:3" x14ac:dyDescent="0.25">
      <c r="A23" s="122">
        <v>50000000</v>
      </c>
      <c r="B23" s="103">
        <f>50000000*'入力 Inputs'!B11*(1-'入力 Inputs'!B13-'入力 Inputs'!B14)*'入力 Inputs'!B16</f>
        <v>1349999.9999999998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ABC6-6F27-4C13-AC5F-ED69DDC141BA}">
  <sheetPr>
    <tabColor rgb="FFFF6600"/>
  </sheetPr>
  <dimension ref="A1:H19"/>
  <sheetViews>
    <sheetView workbookViewId="0">
      <selection activeCell="A8" sqref="A8"/>
    </sheetView>
  </sheetViews>
  <sheetFormatPr defaultRowHeight="15" x14ac:dyDescent="0.25"/>
  <cols>
    <col min="1" max="1" width="62.85546875" customWidth="1"/>
    <col min="2" max="4" width="21" customWidth="1"/>
    <col min="6" max="9" width="9.140625" customWidth="1"/>
  </cols>
  <sheetData>
    <row r="1" spans="1:8" ht="20.25" x14ac:dyDescent="0.3">
      <c r="A1" s="98" t="str">
        <f>IF('入力 Inputs'!$F$1="English","PBWR — YOUR DEAL INCOME",IF('入力 Inputs'!$F$1="日本語","PBWR — あなたの取引収入","PBWR — あなたの取引収入 / PBWR — YOUR DEAL INCOME"))</f>
        <v>PBWR — YOUR DEAL INCOME</v>
      </c>
      <c r="B1" s="79"/>
      <c r="C1" s="79"/>
      <c r="D1" s="79"/>
      <c r="F1" s="114" t="s">
        <v>50</v>
      </c>
      <c r="G1" s="114" t="s">
        <v>44</v>
      </c>
    </row>
    <row r="2" spans="1:8" x14ac:dyDescent="0.25">
      <c r="A2" s="99" t="str">
        <f>IF('入力 Inputs'!$F$1="English","Private Placement Variable Annuity — What You Earn",IF('入力 Inputs'!$F$1="日本語","プライベートプレースメント変額年金 — 収入内容","プライベートプレースメント変額年金 — 収入内容 / Private Placement Variable Annuity — What You Earn"))</f>
        <v>Private Placement Variable Annuity — What You Earn</v>
      </c>
      <c r="B2" s="79"/>
      <c r="C2" s="79"/>
      <c r="D2" s="79"/>
      <c r="F2" s="114" t="s">
        <v>51</v>
      </c>
      <c r="G2" s="192">
        <f>B8</f>
        <v>351000</v>
      </c>
    </row>
    <row r="3" spans="1:8" x14ac:dyDescent="0.25">
      <c r="F3" s="114" t="s">
        <v>52</v>
      </c>
      <c r="G3" s="192">
        <f>B9</f>
        <v>481251.375</v>
      </c>
    </row>
    <row r="4" spans="1:8" x14ac:dyDescent="0.25">
      <c r="A4" s="100" t="str">
        <f>IF('入力 Inputs'!$F$1="English","DEAL SIZE",IF('入力 Inputs'!$F$1="日本語","取引規模","取引規模 / DEAL SIZE"))</f>
        <v>DEAL SIZE</v>
      </c>
      <c r="B4" s="35"/>
      <c r="C4" s="35"/>
      <c r="D4" s="35"/>
    </row>
    <row r="5" spans="1:8" x14ac:dyDescent="0.25">
      <c r="A5" s="94" t="str">
        <f>IF('入力 Inputs'!$F$1="English","Client Deposit",IF('入力 Inputs'!$F$1="日本語","顧客預入額","顧客預入額 / Client Deposit"))</f>
        <v>Client Deposit</v>
      </c>
      <c r="B5" s="101">
        <f>'入力 Inputs'!B7</f>
        <v>13000000</v>
      </c>
      <c r="F5" s="114" t="s">
        <v>53</v>
      </c>
      <c r="G5" s="114" t="s">
        <v>54</v>
      </c>
      <c r="H5" s="114" t="s">
        <v>49</v>
      </c>
    </row>
    <row r="6" spans="1:8" x14ac:dyDescent="0.25">
      <c r="F6" s="114" t="s">
        <v>19</v>
      </c>
      <c r="G6" s="192">
        <f>D15</f>
        <v>211207.5</v>
      </c>
    </row>
    <row r="7" spans="1:8" x14ac:dyDescent="0.25">
      <c r="A7" s="100" t="str">
        <f>IF('入力 Inputs'!$F$1="English","YOUR INCOME",IF('入力 Inputs'!$F$1="日本語","あなたの収入","あなたの収入 / YOUR INCOME"))</f>
        <v>YOUR INCOME</v>
      </c>
      <c r="B7" s="102" t="s">
        <v>44</v>
      </c>
      <c r="C7" s="35"/>
      <c r="D7" s="35"/>
      <c r="F7" s="114" t="s">
        <v>20</v>
      </c>
      <c r="G7" s="192">
        <f>D16</f>
        <v>129741.74999999999</v>
      </c>
    </row>
    <row r="8" spans="1:8" x14ac:dyDescent="0.25">
      <c r="A8" s="94" t="str">
        <f>IF('入力 Inputs'!$F$1="English","Premium Load Income",IF('入力 Inputs'!$F$1="日本語","プレミアムロード収入","プレミアムロード収入 / Premium Load Income"))</f>
        <v>Premium Load Income</v>
      </c>
      <c r="B8" s="103">
        <f>'計算 Calculations'!B15</f>
        <v>351000</v>
      </c>
      <c r="C8" s="104" t="s">
        <v>81</v>
      </c>
      <c r="F8" s="114" t="s">
        <v>21</v>
      </c>
      <c r="G8" s="192">
        <f>D17</f>
        <v>140302.125</v>
      </c>
    </row>
    <row r="9" spans="1:8" x14ac:dyDescent="0.25">
      <c r="A9" s="94" t="str">
        <f>IF('入力 Inputs'!$F$1="English","Marketing Allowance",IF('入力 Inputs'!$F$1="日本語","マーケティング手当","マーケティング手当 / Marketing Allowance"))</f>
        <v>Marketing Allowance</v>
      </c>
      <c r="B9" s="103">
        <f>'計算 Calculations'!F39</f>
        <v>481251.375</v>
      </c>
      <c r="C9" s="104" t="s">
        <v>82</v>
      </c>
    </row>
    <row r="11" spans="1:8" ht="23.25" x14ac:dyDescent="0.35">
      <c r="A11" s="105" t="str">
        <f>IF('入力 Inputs'!$F$1="English","TOTAL INCOME FROM THIS DEAL",IF('入力 Inputs'!$F$1="日本語","この取引からの合計収入","この取引からの合計収入 / TOTAL INCOME FROM THIS DEAL"))</f>
        <v>TOTAL INCOME FROM THIS DEAL</v>
      </c>
      <c r="B11" s="107">
        <f>B8+B9</f>
        <v>832251.375</v>
      </c>
      <c r="C11" s="79"/>
      <c r="D11" s="79"/>
    </row>
    <row r="13" spans="1:8" x14ac:dyDescent="0.25">
      <c r="A13" s="100" t="str">
        <f>IF('入力 Inputs'!$F$1="English","COMMISSION BREAKDOWN BY PRODUCT",IF('入力 Inputs'!$F$1="日本語","商品別コミッション内訳","商品別コミッション内訳 / COMMISSION BREAKDOWN BY PRODUCT"))</f>
        <v>COMMISSION BREAKDOWN BY PRODUCT</v>
      </c>
      <c r="B13" s="35"/>
      <c r="C13" s="35"/>
      <c r="D13" s="35"/>
    </row>
    <row r="14" spans="1:8" x14ac:dyDescent="0.25">
      <c r="A14" s="109" t="str">
        <f>IF('入力 Inputs'!$F$1="English","Annuity Product",IF('入力 Inputs'!$F$1="日本語","年金商品","年金商品 / Annuity Product"))</f>
        <v>Annuity Product</v>
      </c>
      <c r="B14" s="110" t="s">
        <v>48</v>
      </c>
      <c r="C14" s="110" t="s">
        <v>73</v>
      </c>
      <c r="D14" s="110" t="s">
        <v>49</v>
      </c>
    </row>
    <row r="15" spans="1:8" x14ac:dyDescent="0.25">
      <c r="A15" s="94" t="str">
        <f>IF('入力 Inputs'!$F$1="English","Intl Fixed Rate Plan Plus",IF('入力 Inputs'!$F$1="日本語","国際固定金利プランプラス","国際固定金利プランプラス / Intl Fixed Rate Plan Plus"))</f>
        <v>Intl Fixed Rate Plan Plus</v>
      </c>
      <c r="B15" s="103">
        <f>'計算 Calculations'!C28</f>
        <v>4224150</v>
      </c>
      <c r="C15" s="111">
        <f>'入力 Inputs'!B36</f>
        <v>0.05</v>
      </c>
      <c r="D15" s="103">
        <f>'計算 Calculations'!F28</f>
        <v>211207.5</v>
      </c>
    </row>
    <row r="16" spans="1:8" x14ac:dyDescent="0.25">
      <c r="A16" s="94" t="str">
        <f>IF('入力 Inputs'!$F$1="English","Intl Fixed Rate Plan",IF('入力 Inputs'!$F$1="日本語","国際固定金利プラン","国際固定金利プラン / Intl Fixed Rate Plan"))</f>
        <v>Intl Fixed Rate Plan</v>
      </c>
      <c r="B16" s="103">
        <f>'計算 Calculations'!C29</f>
        <v>3017250</v>
      </c>
      <c r="C16" s="111">
        <f>'入力 Inputs'!B37</f>
        <v>4.2999999999999997E-2</v>
      </c>
      <c r="D16" s="103">
        <f>'計算 Calculations'!F29</f>
        <v>129741.74999999999</v>
      </c>
    </row>
    <row r="17" spans="1:4" x14ac:dyDescent="0.25">
      <c r="A17" s="94" t="str">
        <f>IF('入力 Inputs'!$F$1="English","US 5-Year FIA",IF('入力 Inputs'!$F$1="日本語","米国5年FIA","米国5年FIA / US 5-Year FIA"))</f>
        <v>US 5-Year FIA</v>
      </c>
      <c r="B17" s="103">
        <f>'計算 Calculations'!C30</f>
        <v>1810350</v>
      </c>
      <c r="C17" s="111">
        <f>'入力 Inputs'!B38</f>
        <v>7.7499999999999999E-2</v>
      </c>
      <c r="D17" s="103">
        <f>'計算 Calculations'!F30</f>
        <v>140302.125</v>
      </c>
    </row>
    <row r="19" spans="1:4" ht="16.5" x14ac:dyDescent="0.25">
      <c r="A19" s="112" t="str">
        <f>IF('入力 Inputs'!$F$1="English","Total Marketing Allowance",IF('入力 Inputs'!$F$1="日本語","マーケティング手当合計","マーケティング手当合計 / Total Marketing Allowance"))</f>
        <v>Total Marketing Allowance</v>
      </c>
      <c r="D19" s="113">
        <f>'計算 Calculations'!F39</f>
        <v>481251.375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12FB-03D3-4EFF-A006-72A78440A6C4}">
  <sheetPr>
    <tabColor rgb="FF008000"/>
  </sheetPr>
  <dimension ref="A1:H55"/>
  <sheetViews>
    <sheetView workbookViewId="0">
      <selection activeCell="A25" sqref="A25"/>
    </sheetView>
  </sheetViews>
  <sheetFormatPr defaultRowHeight="15" outlineLevelRow="1" x14ac:dyDescent="0.25"/>
  <cols>
    <col min="1" max="1" width="70.42578125" customWidth="1"/>
    <col min="2" max="4" width="22.85546875" customWidth="1"/>
  </cols>
  <sheetData>
    <row r="1" spans="1:4" ht="20.25" x14ac:dyDescent="0.3">
      <c r="A1" s="125" t="str">
        <f>IF('入力 Inputs'!$F$1="English","RIA / INVESTMENT ADVISOR — YOUR INCOME",IF('入力 Inputs'!$F$1="日本語","RIA / 投資アドバイザー — あなたの収入","RIA / 投資アドバイザー — あなたの収入 / RIA / INVESTMENT ADVISOR — YOUR INCOME"))</f>
        <v>RIA / INVESTMENT ADVISOR — YOUR INCOME</v>
      </c>
      <c r="B1" s="45"/>
      <c r="C1" s="45"/>
      <c r="D1" s="45"/>
    </row>
    <row r="2" spans="1:4" x14ac:dyDescent="0.25">
      <c r="A2" s="126" t="str">
        <f>IF('入力 Inputs'!$F$1="English","PPVA — Recurring Advisory Revenue",IF('入力 Inputs'!$F$1="日本語","プライベートプレースメント変額年金 — リカーリングアドバイザリー収入","プライベートプレースメント変額年金 — リカーリングアドバイザリー収入 / PPVA — Recurring Advisory Revenue"))</f>
        <v>PPVA — Recurring Advisory Revenue</v>
      </c>
      <c r="B2" s="45"/>
      <c r="C2" s="45"/>
      <c r="D2" s="45"/>
    </row>
    <row r="4" spans="1:4" x14ac:dyDescent="0.25">
      <c r="A4" s="100" t="str">
        <f>IF('入力 Inputs'!$F$1="English","DEAL SIZE &amp; FEE",IF('入力 Inputs'!$F$1="日本語","取引規模と手数料","取引規模と手数料 / DEAL SIZE &amp; FEE"))</f>
        <v>DEAL SIZE &amp; FEE</v>
      </c>
      <c r="B4" s="35"/>
      <c r="C4" s="35"/>
      <c r="D4" s="35"/>
    </row>
    <row r="5" spans="1:4" x14ac:dyDescent="0.25">
      <c r="A5" s="94" t="str">
        <f>IF('入力 Inputs'!$F$1="English","Net AUM (from deal)",IF('入力 Inputs'!$F$1="日本語","正味AUM（取引から）","正味AUM（取引から） / Net AUM (from deal)"))</f>
        <v>Net AUM (from deal)</v>
      </c>
      <c r="B5" s="101">
        <f>'計算 Calculations'!B23</f>
        <v>12069000</v>
      </c>
    </row>
    <row r="6" spans="1:4" x14ac:dyDescent="0.25">
      <c r="A6" s="94" t="str">
        <f>IF('入力 Inputs'!$F$1="English","Your Advisory Fee Rate",IF('入力 Inputs'!$F$1="日本語","アドバイザリー手数料率","アドバイザリー手数料率 / Your Advisory Fee Rate"))</f>
        <v>Your Advisory Fee Rate</v>
      </c>
      <c r="B6" s="127">
        <f>'入力 Inputs'!B42</f>
        <v>1.5E-3</v>
      </c>
      <c r="C6" s="104" t="s">
        <v>84</v>
      </c>
    </row>
    <row r="7" spans="1:4" x14ac:dyDescent="0.25">
      <c r="A7" s="94" t="str">
        <f>IF('入力 Inputs'!$F$1="English","Assumed Annual Growth Rate",IF('入力 Inputs'!$F$1="日本語","想定年間成長率","想定年間成長率 / Assumed Annual Growth Rate"))</f>
        <v>Assumed Annual Growth Rate</v>
      </c>
      <c r="B7" s="128">
        <f>'入力 Inputs'!B51</f>
        <v>6.2524999999999997E-2</v>
      </c>
      <c r="C7" s="104" t="s">
        <v>85</v>
      </c>
    </row>
    <row r="9" spans="1:4" x14ac:dyDescent="0.25">
      <c r="A9" s="100" t="str">
        <f>IF('入力 Inputs'!$F$1="English","YOUR INCOME SUMMARY",IF('入力 Inputs'!$F$1="日本語","収入概要","収入概要 / YOUR INCOME SUMMARY"))</f>
        <v>YOUR INCOME SUMMARY</v>
      </c>
      <c r="B9" s="35"/>
      <c r="C9" s="35"/>
      <c r="D9" s="35"/>
    </row>
    <row r="10" spans="1:4" ht="23.25" x14ac:dyDescent="0.35">
      <c r="A10" s="129" t="str">
        <f>IF('入力 Inputs'!$F$1="English","Year 1 Advisory Fee",IF('入力 Inputs'!$F$1="日本語","1年目アドバイザリー手数料","1年目アドバイザリー手数料 / Year 1 Advisory Fee"))</f>
        <v>Year 1 Advisory Fee</v>
      </c>
      <c r="B10" s="130">
        <f>B5*B6</f>
        <v>18103.5</v>
      </c>
      <c r="C10" s="131"/>
      <c r="D10" s="131"/>
    </row>
    <row r="11" spans="1:4" x14ac:dyDescent="0.25">
      <c r="A11" s="94" t="str">
        <f>IF('入力 Inputs'!$F$1="English","5-Year Cumulative",IF('入力 Inputs'!$F$1="日本語","5年累積","5年累積 / 5-Year Cumulative"))</f>
        <v>5-Year Cumulative</v>
      </c>
      <c r="B11" s="103">
        <f>D26</f>
        <v>102566.84939943609</v>
      </c>
    </row>
    <row r="12" spans="1:4" x14ac:dyDescent="0.25">
      <c r="A12" s="95" t="str">
        <f>IF('入力 Inputs'!$F$1="English","10-Year Cumulative",IF('入力 Inputs'!$F$1="日本語","10年累積","10年累積 / 10-Year Cumulative"))</f>
        <v>10-Year Cumulative</v>
      </c>
      <c r="B12" s="132">
        <f>D31</f>
        <v>241467.02722695548</v>
      </c>
    </row>
    <row r="14" spans="1:4" x14ac:dyDescent="0.25">
      <c r="A14" s="100" t="str">
        <f>IF('入力 Inputs'!$F$1="English","CLIENT OUTCOME",IF('入力 Inputs'!$F$1="日本語","顧客の成果","顧客の成果 / CLIENT OUTCOME"))</f>
        <v>CLIENT OUTCOME</v>
      </c>
      <c r="B14" s="35"/>
      <c r="C14" s="35"/>
      <c r="D14" s="35"/>
    </row>
    <row r="15" spans="1:4" x14ac:dyDescent="0.25">
      <c r="A15" s="94" t="str">
        <f>IF('入力 Inputs'!$F$1="English","Gross Weighted Return",IF('入力 Inputs'!$F$1="日本語","加重グロスリターン","加重グロスリターン / Gross Weighted Return"))</f>
        <v>Gross Weighted Return</v>
      </c>
      <c r="B15" s="120">
        <f>'入力 Inputs'!B51</f>
        <v>6.2524999999999997E-2</v>
      </c>
    </row>
    <row r="16" spans="1:4" x14ac:dyDescent="0.25">
      <c r="A16" s="118" t="str">
        <f>IF('入力 Inputs'!$F$1="English","Less: Advisory Fee",IF('入力 Inputs'!$F$1="日本語","差引：アドバイザリー手数料","差引：アドバイザリー手数料 / Less: Advisory Fee"))</f>
        <v>Less: Advisory Fee</v>
      </c>
      <c r="B16" s="133">
        <f>-B6</f>
        <v>-1.5E-3</v>
      </c>
    </row>
    <row r="17" spans="1:8" x14ac:dyDescent="0.25">
      <c r="A17" s="118" t="str">
        <f>IF('入力 Inputs'!$F$1="English","Less: Other Fund Charges (M&amp;E + Custodian + MM)",IF('入力 Inputs'!$F$1="日本語","差引：その他ファンド手数料（M&amp;E+保管料+MM）","差引：その他ファンド手数料（M&amp;E+保管料+MM） / Less: Other Fund Charges (M&amp;E + Custodian + MM)"))</f>
        <v>Less: Other Fund Charges (M&amp;E + Custodian + MM)</v>
      </c>
      <c r="B17" s="133">
        <f>-('入力 Inputs'!B41+'入力 Inputs'!B43+'入力 Inputs'!B44)</f>
        <v>-2E-3</v>
      </c>
    </row>
    <row r="18" spans="1:8" x14ac:dyDescent="0.25">
      <c r="A18" s="95" t="str">
        <f>IF('入力 Inputs'!$F$1="English","Net Return to Client",IF('入力 Inputs'!$F$1="日本語","顧客への正味リターン","顧客への正味リターン / Net Return to Client"))</f>
        <v>Net Return to Client</v>
      </c>
      <c r="B18" s="134">
        <f>B15+B16+B17</f>
        <v>5.9024999999999994E-2</v>
      </c>
    </row>
    <row r="20" spans="1:8" x14ac:dyDescent="0.25">
      <c r="A20" s="100" t="str">
        <f>IF('入力 Inputs'!$F$1="English","10-YEAR INCOME PROJECTION",IF('入力 Inputs'!$F$1="日本語","10年間収入予測","10年間収入予測 / 10-YEAR INCOME PROJECTION"))</f>
        <v>10-YEAR INCOME PROJECTION</v>
      </c>
      <c r="B20" s="35"/>
      <c r="C20" s="35"/>
      <c r="D20" s="35"/>
    </row>
    <row r="21" spans="1:8" x14ac:dyDescent="0.25">
      <c r="A21" s="108" t="str">
        <f>IF('入力 Inputs'!$F$1="English","Year",IF('入力 Inputs'!$F$1="日本語","年","年 / Year"))</f>
        <v>Year</v>
      </c>
      <c r="B21" s="110" t="s">
        <v>56</v>
      </c>
      <c r="C21" s="110" t="s">
        <v>57</v>
      </c>
      <c r="D21" s="110" t="s">
        <v>86</v>
      </c>
      <c r="F21" s="135" t="s">
        <v>26</v>
      </c>
      <c r="G21" s="135" t="s">
        <v>57</v>
      </c>
      <c r="H21" s="114" t="s">
        <v>86</v>
      </c>
    </row>
    <row r="22" spans="1:8" x14ac:dyDescent="0.25">
      <c r="A22" s="94" t="s">
        <v>29</v>
      </c>
      <c r="B22" s="103">
        <f>$B$5</f>
        <v>12069000</v>
      </c>
      <c r="C22" s="103">
        <f t="shared" ref="C22:C31" si="0">B22*$B$6</f>
        <v>18103.5</v>
      </c>
      <c r="D22" s="103">
        <f>C22</f>
        <v>18103.5</v>
      </c>
      <c r="F22" s="114" t="str">
        <f t="shared" ref="F22:F31" si="1">A22</f>
        <v>Year 1</v>
      </c>
      <c r="G22" s="192">
        <f t="shared" ref="G22:G31" si="2">C22</f>
        <v>18103.5</v>
      </c>
      <c r="H22" s="192">
        <f t="shared" ref="H22:H31" si="3">D22</f>
        <v>18103.5</v>
      </c>
    </row>
    <row r="23" spans="1:8" x14ac:dyDescent="0.25">
      <c r="A23" s="94" t="s">
        <v>30</v>
      </c>
      <c r="B23" s="103">
        <f t="shared" ref="B23:B31" si="4">B22*(1+$B$7)</f>
        <v>12823614.225</v>
      </c>
      <c r="C23" s="103">
        <f t="shared" si="0"/>
        <v>19235.4213375</v>
      </c>
      <c r="D23" s="103">
        <f t="shared" ref="D23:D31" si="5">D22+C23</f>
        <v>37338.921337499996</v>
      </c>
      <c r="F23" s="114" t="str">
        <f t="shared" si="1"/>
        <v>Year 2</v>
      </c>
      <c r="G23" s="192">
        <f t="shared" si="2"/>
        <v>19235.4213375</v>
      </c>
      <c r="H23" s="192">
        <f t="shared" si="3"/>
        <v>37338.921337499996</v>
      </c>
    </row>
    <row r="24" spans="1:8" x14ac:dyDescent="0.25">
      <c r="A24" s="94" t="s">
        <v>31</v>
      </c>
      <c r="B24" s="103">
        <f t="shared" si="4"/>
        <v>13625410.704418125</v>
      </c>
      <c r="C24" s="103">
        <f t="shared" si="0"/>
        <v>20438.116056627186</v>
      </c>
      <c r="D24" s="103">
        <f t="shared" si="5"/>
        <v>57777.037394127183</v>
      </c>
      <c r="F24" s="114" t="str">
        <f t="shared" si="1"/>
        <v>Year 3</v>
      </c>
      <c r="G24" s="192">
        <f t="shared" si="2"/>
        <v>20438.116056627186</v>
      </c>
      <c r="H24" s="192">
        <f t="shared" si="3"/>
        <v>57777.037394127183</v>
      </c>
    </row>
    <row r="25" spans="1:8" x14ac:dyDescent="0.25">
      <c r="A25" s="94" t="s">
        <v>32</v>
      </c>
      <c r="B25" s="103">
        <f t="shared" si="4"/>
        <v>14477339.508711867</v>
      </c>
      <c r="C25" s="103">
        <f t="shared" si="0"/>
        <v>21716.009263067801</v>
      </c>
      <c r="D25" s="103">
        <f t="shared" si="5"/>
        <v>79493.04665719498</v>
      </c>
      <c r="F25" s="114" t="str">
        <f t="shared" si="1"/>
        <v>Year 4</v>
      </c>
      <c r="G25" s="192">
        <f t="shared" si="2"/>
        <v>21716.009263067801</v>
      </c>
      <c r="H25" s="192">
        <f t="shared" si="3"/>
        <v>79493.04665719498</v>
      </c>
    </row>
    <row r="26" spans="1:8" x14ac:dyDescent="0.25">
      <c r="A26" s="94" t="s">
        <v>33</v>
      </c>
      <c r="B26" s="103">
        <f t="shared" si="4"/>
        <v>15382535.161494076</v>
      </c>
      <c r="C26" s="103">
        <f t="shared" si="0"/>
        <v>23073.802742241114</v>
      </c>
      <c r="D26" s="103">
        <f t="shared" si="5"/>
        <v>102566.84939943609</v>
      </c>
      <c r="F26" s="114" t="str">
        <f t="shared" si="1"/>
        <v>Year 5</v>
      </c>
      <c r="G26" s="192">
        <f t="shared" si="2"/>
        <v>23073.802742241114</v>
      </c>
      <c r="H26" s="192">
        <f t="shared" si="3"/>
        <v>102566.84939943609</v>
      </c>
    </row>
    <row r="27" spans="1:8" x14ac:dyDescent="0.25">
      <c r="A27" s="94" t="s">
        <v>34</v>
      </c>
      <c r="B27" s="103">
        <f t="shared" si="4"/>
        <v>16344328.172466492</v>
      </c>
      <c r="C27" s="103">
        <f t="shared" si="0"/>
        <v>24516.492258699738</v>
      </c>
      <c r="D27" s="103">
        <f t="shared" si="5"/>
        <v>127083.34165813583</v>
      </c>
      <c r="F27" s="114" t="str">
        <f t="shared" si="1"/>
        <v>Year 6</v>
      </c>
      <c r="G27" s="192">
        <f t="shared" si="2"/>
        <v>24516.492258699738</v>
      </c>
      <c r="H27" s="192">
        <f t="shared" si="3"/>
        <v>127083.34165813583</v>
      </c>
    </row>
    <row r="28" spans="1:8" x14ac:dyDescent="0.25">
      <c r="A28" s="94" t="s">
        <v>35</v>
      </c>
      <c r="B28" s="103">
        <f t="shared" si="4"/>
        <v>17366257.29144996</v>
      </c>
      <c r="C28" s="103">
        <f t="shared" si="0"/>
        <v>26049.385937174942</v>
      </c>
      <c r="D28" s="103">
        <f t="shared" si="5"/>
        <v>153132.72759531077</v>
      </c>
      <c r="F28" s="114" t="str">
        <f t="shared" si="1"/>
        <v>Year 7</v>
      </c>
      <c r="G28" s="192">
        <f t="shared" si="2"/>
        <v>26049.385937174942</v>
      </c>
      <c r="H28" s="192">
        <f t="shared" si="3"/>
        <v>153132.72759531077</v>
      </c>
    </row>
    <row r="29" spans="1:8" x14ac:dyDescent="0.25">
      <c r="A29" s="94" t="s">
        <v>36</v>
      </c>
      <c r="B29" s="103">
        <f t="shared" si="4"/>
        <v>18452082.528597869</v>
      </c>
      <c r="C29" s="103">
        <f t="shared" si="0"/>
        <v>27678.123792896804</v>
      </c>
      <c r="D29" s="103">
        <f t="shared" si="5"/>
        <v>180810.85138820758</v>
      </c>
      <c r="F29" s="114" t="str">
        <f t="shared" si="1"/>
        <v>Year 8</v>
      </c>
      <c r="G29" s="192">
        <f t="shared" si="2"/>
        <v>27678.123792896804</v>
      </c>
      <c r="H29" s="192">
        <f t="shared" si="3"/>
        <v>180810.85138820758</v>
      </c>
    </row>
    <row r="30" spans="1:8" x14ac:dyDescent="0.25">
      <c r="A30" s="94" t="s">
        <v>37</v>
      </c>
      <c r="B30" s="103">
        <f t="shared" si="4"/>
        <v>19605798.988698449</v>
      </c>
      <c r="C30" s="103">
        <f t="shared" si="0"/>
        <v>29408.698483047676</v>
      </c>
      <c r="D30" s="103">
        <f t="shared" si="5"/>
        <v>210219.54987125527</v>
      </c>
      <c r="F30" s="114" t="str">
        <f t="shared" si="1"/>
        <v>Year 9</v>
      </c>
      <c r="G30" s="192">
        <f t="shared" si="2"/>
        <v>29408.698483047676</v>
      </c>
      <c r="H30" s="192">
        <f t="shared" si="3"/>
        <v>210219.54987125527</v>
      </c>
    </row>
    <row r="31" spans="1:8" x14ac:dyDescent="0.25">
      <c r="A31" s="94" t="s">
        <v>38</v>
      </c>
      <c r="B31" s="103">
        <f t="shared" si="4"/>
        <v>20831651.57046682</v>
      </c>
      <c r="C31" s="103">
        <f t="shared" si="0"/>
        <v>31247.47735570023</v>
      </c>
      <c r="D31" s="103">
        <f t="shared" si="5"/>
        <v>241467.02722695548</v>
      </c>
      <c r="F31" s="114" t="str">
        <f t="shared" si="1"/>
        <v>Year 10</v>
      </c>
      <c r="G31" s="192">
        <f t="shared" si="2"/>
        <v>31247.47735570023</v>
      </c>
      <c r="H31" s="192">
        <f t="shared" si="3"/>
        <v>241467.02722695548</v>
      </c>
    </row>
    <row r="45" outlineLevel="1" x14ac:dyDescent="0.25"/>
    <row r="46" outlineLevel="1" x14ac:dyDescent="0.25"/>
    <row r="47" outlineLevel="1" x14ac:dyDescent="0.25"/>
    <row r="48" outlineLevel="1" x14ac:dyDescent="0.25"/>
    <row r="49" outlineLevel="1" x14ac:dyDescent="0.25"/>
    <row r="50" outlineLevel="1" x14ac:dyDescent="0.25"/>
    <row r="51" outlineLevel="1" x14ac:dyDescent="0.25"/>
    <row r="52" outlineLevel="1" collapsed="1" x14ac:dyDescent="0.25"/>
    <row r="53" outlineLevel="1" x14ac:dyDescent="0.25"/>
    <row r="54" outlineLevel="1" x14ac:dyDescent="0.25"/>
    <row r="55" outlineLevel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576B-1009-4DD8-8F4E-8B72B8007D5F}">
  <dimension ref="A1:D31"/>
  <sheetViews>
    <sheetView workbookViewId="0">
      <selection activeCell="A18" sqref="A18"/>
    </sheetView>
  </sheetViews>
  <sheetFormatPr defaultRowHeight="15" x14ac:dyDescent="0.25"/>
  <cols>
    <col min="1" max="1" width="70.42578125" customWidth="1"/>
    <col min="2" max="4" width="22.85546875" customWidth="1"/>
  </cols>
  <sheetData>
    <row r="1" spans="1:4" ht="18" x14ac:dyDescent="0.25">
      <c r="A1" s="162" t="str">
        <f>IF('入力 Inputs'!$F$1="English","MONEY MANAGER — YOUR SUB-ADVISORY INCOME",IF('入力 Inputs'!$F$1="日本語","マネーマネージャー — あなたのサブアドバイザリー収入","マネーマネージャー — あなたのサブアドバイザリー収入 / MONEY MANAGER — YOUR SUB-ADVISORY INCOME"))</f>
        <v>MONEY MANAGER — YOUR SUB-ADVISORY INCOME</v>
      </c>
      <c r="B1" s="42"/>
      <c r="C1" s="42"/>
      <c r="D1" s="42"/>
    </row>
    <row r="2" spans="1:4" x14ac:dyDescent="0.25">
      <c r="A2" s="4" t="str">
        <f>IF('入力 Inputs'!$F$1="English","Private Placement Variable Annuity — Institutional Sub-Advisory Mandate",IF('入力 Inputs'!$F$1="日本語","プライベートプレースメント変額年金 — 機関投資家マンデート","プライベートプレースメント変額年金 — 機関投資家マンデート / Private Placement Variable Annuity — Institutional Sub-Advisory Mandate"))</f>
        <v>Private Placement Variable Annuity — Institutional Sub-Advisory Mandate</v>
      </c>
      <c r="B2" s="42"/>
      <c r="C2" s="42"/>
      <c r="D2" s="42"/>
    </row>
    <row r="3" spans="1:4" x14ac:dyDescent="0.25">
      <c r="A3" s="42"/>
      <c r="B3" s="42"/>
      <c r="C3" s="42"/>
      <c r="D3" s="42"/>
    </row>
    <row r="4" spans="1:4" x14ac:dyDescent="0.25">
      <c r="A4" s="151" t="str">
        <f>IF('入力 Inputs'!$F$1="English","MANDATE SIZE",IF('入力 Inputs'!$F$1="日本語","マンデート規模","マンデート規模 / MANDATE SIZE"))</f>
        <v>MANDATE SIZE</v>
      </c>
      <c r="B4" s="151"/>
      <c r="C4" s="151"/>
      <c r="D4" s="42"/>
    </row>
    <row r="5" spans="1:4" x14ac:dyDescent="0.25">
      <c r="A5" s="42" t="str">
        <f>IF('入力 Inputs'!$F$1="English","AUM Sub-Advised",IF('入力 Inputs'!$F$1="日本語","サブアドバイズAUM","サブアドバイズAUM / AUM Sub-Advised"))</f>
        <v>AUM Sub-Advised</v>
      </c>
      <c r="B5" s="188">
        <f>'入力 Inputs'!C29+'入力 Inputs'!C30</f>
        <v>2413800</v>
      </c>
      <c r="C5" s="42"/>
      <c r="D5" s="42"/>
    </row>
    <row r="6" spans="1:4" x14ac:dyDescent="0.25">
      <c r="A6" s="42" t="str">
        <f>IF('入力 Inputs'!$F$1="English","Management Fee Rate",IF('入力 Inputs'!$F$1="日本語","管理報酬率","管理報酬率 / Management Fee Rate"))</f>
        <v>Management Fee Rate</v>
      </c>
      <c r="B6" s="202">
        <f>'入力 Inputs'!B44</f>
        <v>0</v>
      </c>
      <c r="C6" s="42"/>
      <c r="D6" s="42"/>
    </row>
    <row r="7" spans="1:4" x14ac:dyDescent="0.25">
      <c r="A7" s="42" t="str">
        <f>IF('入力 Inputs'!$F$1="English","Assumed Annual Growth Rate",IF('入力 Inputs'!$F$1="日本語","想定年間成長率","想定年間成長率 / Assumed Annual Growth Rate"))</f>
        <v>Assumed Annual Growth Rate</v>
      </c>
      <c r="B7" s="203">
        <f>'入力 Inputs'!B51</f>
        <v>6.2524999999999997E-2</v>
      </c>
      <c r="C7" s="42"/>
      <c r="D7" s="42"/>
    </row>
    <row r="8" spans="1:4" x14ac:dyDescent="0.25">
      <c r="A8" s="42"/>
      <c r="B8" s="42"/>
      <c r="C8" s="42"/>
      <c r="D8" s="42"/>
    </row>
    <row r="9" spans="1:4" x14ac:dyDescent="0.25">
      <c r="A9" s="151" t="str">
        <f>IF('入力 Inputs'!$F$1="English","YOUR INCOME SUMMARY",IF('入力 Inputs'!$F$1="日本語","収入概要","収入概要 / YOUR INCOME SUMMARY"))</f>
        <v>YOUR INCOME SUMMARY</v>
      </c>
      <c r="B9" s="151"/>
      <c r="C9" s="151"/>
      <c r="D9" s="42"/>
    </row>
    <row r="10" spans="1:4" x14ac:dyDescent="0.25">
      <c r="A10" s="42" t="str">
        <f>IF('入力 Inputs'!$F$1="English","Year 1 Management Fee",IF('入力 Inputs'!$F$1="日本語","1年目管理報酬","1年目管理報酬 / Year 1 Management Fee"))</f>
        <v>Year 1 Management Fee</v>
      </c>
      <c r="B10" s="188">
        <f>B5*B6</f>
        <v>0</v>
      </c>
      <c r="C10" s="42"/>
      <c r="D10" s="42"/>
    </row>
    <row r="11" spans="1:4" x14ac:dyDescent="0.25">
      <c r="A11" s="42" t="str">
        <f>IF('入力 Inputs'!$F$1="English","5-Year Cumulative",IF('入力 Inputs'!$F$1="日本語","5年累積","5年累積 / 5-Year Cumulative"))</f>
        <v>5-Year Cumulative</v>
      </c>
      <c r="B11" s="188" cm="1">
        <f t="array" ref="B11">SUMPRODUCT(B5*(1+'入力 Inputs'!B51)^{0,1,2,3,4})*B6</f>
        <v>0</v>
      </c>
      <c r="C11" s="42"/>
      <c r="D11" s="42"/>
    </row>
    <row r="12" spans="1:4" x14ac:dyDescent="0.25">
      <c r="A12" s="42" t="str">
        <f>IF('入力 Inputs'!$F$1="English","10-Year Cumulative",IF('入力 Inputs'!$F$1="日本語","10年累積","10年累積 / 10-Year Cumulative"))</f>
        <v>10-Year Cumulative</v>
      </c>
      <c r="B12" s="204" cm="1">
        <f t="array" ref="B12">SUMPRODUCT(B5*(1+'入力 Inputs'!B51)^{0,1,2,3,4,5,6,7,8,9})*B6</f>
        <v>0</v>
      </c>
      <c r="C12" s="42"/>
      <c r="D12" s="42"/>
    </row>
    <row r="13" spans="1:4" x14ac:dyDescent="0.25">
      <c r="A13" s="42"/>
      <c r="B13" s="42"/>
      <c r="C13" s="42"/>
      <c r="D13" s="42"/>
    </row>
    <row r="14" spans="1:4" x14ac:dyDescent="0.25">
      <c r="A14" s="151" t="str">
        <f>IF('入力 Inputs'!$F$1="English","VALUE PROPOSITION",IF('入力 Inputs'!$F$1="日本語","価値提案","価値提案 / VALUE PROPOSITION"))</f>
        <v>VALUE PROPOSITION</v>
      </c>
      <c r="B14" s="151"/>
      <c r="C14" s="151"/>
      <c r="D14" s="42"/>
    </row>
    <row r="15" spans="1:4" x14ac:dyDescent="0.25">
      <c r="A15" s="177" t="str">
        <f>IF('入力 Inputs'!$F$1="English","✔ Zero client acquisition cost — sticky institutional AUM",IF('入力 Inputs'!$F$1="日本語","✔ 顧客獲得コストなし — スティッキーな機関AUM","✔ 顧客獲得コストなし — スティッキーな機関AUM / ✔ Zero client acquisition cost — sticky institutional AUM"))</f>
        <v>✔ Zero client acquisition cost — sticky institutional AUM</v>
      </c>
      <c r="B15" s="42"/>
      <c r="C15" s="42"/>
      <c r="D15" s="42"/>
    </row>
    <row r="16" spans="1:4" x14ac:dyDescent="0.25">
      <c r="A16" s="177" t="str">
        <f>IF('入力 Inputs'!$F$1="English","✔ Locked assets during surrender charge period",IF('入力 Inputs'!$F$1="日本語","✔ 解約手数料期間中はロックされた資産","✔ 解約手数料期間中はロックされた資産 / ✔ Locked assets during surrender charge period"))</f>
        <v>✔ Locked assets during surrender charge period</v>
      </c>
      <c r="B16" s="42"/>
      <c r="C16" s="42"/>
      <c r="D16" s="42"/>
    </row>
    <row r="17" spans="1:4" x14ac:dyDescent="0.25">
      <c r="A17" s="177" t="str">
        <f>IF('入力 Inputs'!$F$1="English","✔ Long-duration mandate — minimum 5-year horizon",IF('入力 Inputs'!$F$1="日本語","✔ 長期マンデート — 最低5年のホライズン","✔ 長期マンデート — 最低5年のホライズン / ✔ Long-duration mandate — minimum 5-year horizon"))</f>
        <v>✔ Long-duration mandate — minimum 5-year horizon</v>
      </c>
      <c r="B17" s="42"/>
      <c r="C17" s="42"/>
      <c r="D17" s="42"/>
    </row>
    <row r="18" spans="1:4" x14ac:dyDescent="0.25">
      <c r="A18" s="177" t="str">
        <f>IF('入力 Inputs'!$F$1="English","✔ Pipeline potential for additional mandates",IF('入力 Inputs'!$F$1="日本語","✔ 追加マンデートのパイプライン可能性","✔ 追加マンデートのパイプライン可能性 / ✔ Pipeline potential for additional mandates"))</f>
        <v>✔ Pipeline potential for additional mandates</v>
      </c>
      <c r="B18" s="42"/>
      <c r="C18" s="42"/>
      <c r="D18" s="42"/>
    </row>
    <row r="19" spans="1:4" x14ac:dyDescent="0.25">
      <c r="A19" s="42"/>
      <c r="B19" s="42"/>
      <c r="C19" s="42"/>
      <c r="D19" s="42"/>
    </row>
    <row r="20" spans="1:4" x14ac:dyDescent="0.25">
      <c r="A20" s="151" t="str">
        <f>IF('入力 Inputs'!$F$1="English","10-YEAR INCOME PROJECTION",IF('入力 Inputs'!$F$1="日本語","10年間収入予測","10年間収入予測 / 10-YEAR INCOME PROJECTION"))</f>
        <v>10-YEAR INCOME PROJECTION</v>
      </c>
      <c r="B20" s="151"/>
      <c r="C20" s="151"/>
      <c r="D20" s="151"/>
    </row>
    <row r="21" spans="1:4" x14ac:dyDescent="0.25">
      <c r="A21" s="78" t="str">
        <f>IF('入力 Inputs'!$F$1="English","Year",IF('入力 Inputs'!$F$1="日本語","年","年 / Year"))</f>
        <v>Year</v>
      </c>
      <c r="B21" s="78" t="str">
        <f>IF('入力 Inputs'!$F$1="English","AUM",IF('入力 Inputs'!$F$1="日本語","AUM","AUM / AUM"))</f>
        <v>AUM</v>
      </c>
      <c r="C21" s="78" t="str">
        <f>IF('入力 Inputs'!$F$1="English","Annual Mgmt Fee",IF('入力 Inputs'!$F$1="日本語","年間管理報酬","年間管理報酬 / Annual Mgmt Fee"))</f>
        <v>Annual Mgmt Fee</v>
      </c>
      <c r="D21" s="78" t="str">
        <f>IF('入力 Inputs'!$F$1="English","Cumulative",IF('入力 Inputs'!$F$1="日本語","累積","累積 / Cumulative"))</f>
        <v>Cumulative</v>
      </c>
    </row>
    <row r="22" spans="1:4" x14ac:dyDescent="0.25">
      <c r="A22" s="42" t="s">
        <v>29</v>
      </c>
      <c r="B22" s="188">
        <f>B5*(1+'入力 Inputs'!B51)^(1-1)</f>
        <v>2413800</v>
      </c>
      <c r="C22" s="188">
        <f t="shared" ref="C22:C31" si="0">B22*$B$6</f>
        <v>0</v>
      </c>
      <c r="D22" s="188">
        <f>C22</f>
        <v>0</v>
      </c>
    </row>
    <row r="23" spans="1:4" x14ac:dyDescent="0.25">
      <c r="A23" s="42" t="s">
        <v>30</v>
      </c>
      <c r="B23" s="188">
        <f>B5*(1+'入力 Inputs'!B51)^(2-1)</f>
        <v>2564722.8449999997</v>
      </c>
      <c r="C23" s="188">
        <f t="shared" si="0"/>
        <v>0</v>
      </c>
      <c r="D23" s="188">
        <f t="shared" ref="D23:D31" si="1">D22+C23</f>
        <v>0</v>
      </c>
    </row>
    <row r="24" spans="1:4" x14ac:dyDescent="0.25">
      <c r="A24" s="42" t="s">
        <v>31</v>
      </c>
      <c r="B24" s="188">
        <f>B5*(1+'入力 Inputs'!B51)^(3-1)</f>
        <v>2725082.1408836246</v>
      </c>
      <c r="C24" s="188">
        <f t="shared" si="0"/>
        <v>0</v>
      </c>
      <c r="D24" s="188">
        <f t="shared" si="1"/>
        <v>0</v>
      </c>
    </row>
    <row r="25" spans="1:4" x14ac:dyDescent="0.25">
      <c r="A25" s="42" t="s">
        <v>32</v>
      </c>
      <c r="B25" s="188">
        <f>B5*(1+'入力 Inputs'!B51)^(4-1)</f>
        <v>2895467.9017423731</v>
      </c>
      <c r="C25" s="188">
        <f t="shared" si="0"/>
        <v>0</v>
      </c>
      <c r="D25" s="188">
        <f t="shared" si="1"/>
        <v>0</v>
      </c>
    </row>
    <row r="26" spans="1:4" x14ac:dyDescent="0.25">
      <c r="A26" s="42" t="s">
        <v>33</v>
      </c>
      <c r="B26" s="188">
        <f>B5*(1+'入力 Inputs'!B51)^(5-1)</f>
        <v>3076507.0322988145</v>
      </c>
      <c r="C26" s="188">
        <f t="shared" si="0"/>
        <v>0</v>
      </c>
      <c r="D26" s="188">
        <f t="shared" si="1"/>
        <v>0</v>
      </c>
    </row>
    <row r="27" spans="1:4" x14ac:dyDescent="0.25">
      <c r="A27" s="42" t="s">
        <v>34</v>
      </c>
      <c r="B27" s="188">
        <f>B5*(1+'入力 Inputs'!B51)^(6-1)</f>
        <v>3268865.6344932974</v>
      </c>
      <c r="C27" s="188">
        <f t="shared" si="0"/>
        <v>0</v>
      </c>
      <c r="D27" s="188">
        <f t="shared" si="1"/>
        <v>0</v>
      </c>
    </row>
    <row r="28" spans="1:4" x14ac:dyDescent="0.25">
      <c r="A28" s="42" t="s">
        <v>35</v>
      </c>
      <c r="B28" s="188">
        <f>B5*(1+'入力 Inputs'!B51)^(7-1)</f>
        <v>3473251.4582899907</v>
      </c>
      <c r="C28" s="188">
        <f t="shared" si="0"/>
        <v>0</v>
      </c>
      <c r="D28" s="188">
        <f t="shared" si="1"/>
        <v>0</v>
      </c>
    </row>
    <row r="29" spans="1:4" x14ac:dyDescent="0.25">
      <c r="A29" s="42" t="s">
        <v>36</v>
      </c>
      <c r="B29" s="188">
        <f>B5*(1+'入力 Inputs'!B51)^(8-1)</f>
        <v>3690416.5057195723</v>
      </c>
      <c r="C29" s="188">
        <f t="shared" si="0"/>
        <v>0</v>
      </c>
      <c r="D29" s="188">
        <f t="shared" si="1"/>
        <v>0</v>
      </c>
    </row>
    <row r="30" spans="1:4" x14ac:dyDescent="0.25">
      <c r="A30" s="42" t="s">
        <v>37</v>
      </c>
      <c r="B30" s="188">
        <f>B5*(1+'入力 Inputs'!B51)^(9-1)</f>
        <v>3921159.7977396878</v>
      </c>
      <c r="C30" s="188">
        <f t="shared" si="0"/>
        <v>0</v>
      </c>
      <c r="D30" s="188">
        <f t="shared" si="1"/>
        <v>0</v>
      </c>
    </row>
    <row r="31" spans="1:4" x14ac:dyDescent="0.25">
      <c r="A31" s="42" t="s">
        <v>38</v>
      </c>
      <c r="B31" s="188">
        <f>B5*(1+'入力 Inputs'!B51)^(10-1)</f>
        <v>4166330.3140933616</v>
      </c>
      <c r="C31" s="188">
        <f t="shared" si="0"/>
        <v>0</v>
      </c>
      <c r="D31" s="188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入力 Inputs</vt:lpstr>
      <vt:lpstr>計算 Calculations</vt:lpstr>
      <vt:lpstr>キャリア Carrier Illust.</vt:lpstr>
      <vt:lpstr>税金 Tax Impact</vt:lpstr>
      <vt:lpstr>既存ポートフォリオ Existing</vt:lpstr>
      <vt:lpstr>サマリー Summary</vt:lpstr>
      <vt:lpstr>マスター Master</vt:lpstr>
      <vt:lpstr>Ohanaピッチ</vt:lpstr>
      <vt:lpstr>PBWRピッチ</vt:lpstr>
      <vt:lpstr>アドバイザーピッチ</vt:lpstr>
      <vt:lpstr>MMピッチ MM Pitch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Joshua Herrington-Vickers</cp:lastModifiedBy>
  <cp:revision>0</cp:revision>
  <dcterms:created xsi:type="dcterms:W3CDTF">2026-03-12T05:01:18Z</dcterms:created>
  <dcterms:modified xsi:type="dcterms:W3CDTF">2026-03-19T19:48:00Z</dcterms:modified>
  <cp:category/>
  <cp:contentStatus/>
</cp:coreProperties>
</file>