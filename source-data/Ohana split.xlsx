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/Users/sam/Desktop/CASES/OHANA/"/>
    </mc:Choice>
  </mc:AlternateContent>
  <xr:revisionPtr revIDLastSave="0" documentId="13_ncr:1_{3C5C72AB-CA3A-3943-A2B3-335DB0864F91}" xr6:coauthVersionLast="47" xr6:coauthVersionMax="47" xr10:uidLastSave="{00000000-0000-0000-0000-000000000000}"/>
  <bookViews>
    <workbookView xWindow="380" yWindow="500" windowWidth="28040" windowHeight="15620" xr2:uid="{B78B9076-BDE6-EE43-8626-90F7C719F47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21" i="1" s="1"/>
  <c r="D24" i="1"/>
  <c r="D22" i="1" l="1"/>
  <c r="E11" i="1"/>
  <c r="E22" i="1" s="1"/>
  <c r="D23" i="1"/>
  <c r="D34" i="1" s="1"/>
  <c r="F34" i="1" s="1"/>
  <c r="E12" i="1"/>
  <c r="E23" i="1" s="1"/>
  <c r="F23" i="1" s="1"/>
  <c r="E13" i="1"/>
  <c r="E24" i="1" s="1"/>
  <c r="F24" i="1" s="1"/>
  <c r="E9" i="1"/>
  <c r="E20" i="1" s="1"/>
  <c r="D20" i="1"/>
  <c r="D35" i="1"/>
  <c r="F35" i="1" s="1"/>
  <c r="D21" i="1"/>
  <c r="F22" i="1" l="1"/>
  <c r="D33" i="1"/>
  <c r="F33" i="1" s="1"/>
  <c r="F20" i="1"/>
  <c r="D31" i="1"/>
  <c r="F31" i="1" s="1"/>
  <c r="F21" i="1"/>
  <c r="D32" i="1"/>
  <c r="F32" i="1" s="1"/>
</calcChain>
</file>

<file path=xl/sharedStrings.xml><?xml version="1.0" encoding="utf-8"?>
<sst xmlns="http://schemas.openxmlformats.org/spreadsheetml/2006/main" count="39" uniqueCount="20">
  <si>
    <t>OHANA GLOBAL ALLIANCE PRICING PROPOSAL*</t>
  </si>
  <si>
    <t>OGA PHASE 1 - 3c Does all work (Beth Engaged) - Intermediary Pricing</t>
  </si>
  <si>
    <t>SAM/BETH</t>
  </si>
  <si>
    <t>Admin Fee</t>
  </si>
  <si>
    <t>Advantage</t>
  </si>
  <si>
    <t>3c</t>
  </si>
  <si>
    <t>OHG</t>
  </si>
  <si>
    <t>2-3</t>
  </si>
  <si>
    <t>3-4</t>
  </si>
  <si>
    <t>4-7</t>
  </si>
  <si>
    <t>7-10</t>
  </si>
  <si>
    <t>10+</t>
  </si>
  <si>
    <t>OGA PHASE 2 - 3c directs/teaches the work - Intermediary Pricing (admin by OGA)</t>
  </si>
  <si>
    <t>SAM</t>
  </si>
  <si>
    <t>OGA PHASE 2 - 3c infrastructure and high level support only - Intermediary Pricing</t>
  </si>
  <si>
    <t>* All PPVULs and PPVAs have the following establishment fees:</t>
  </si>
  <si>
    <t>$1,000 for PPVA</t>
  </si>
  <si>
    <t>$7,000 for single life PPVUL</t>
  </si>
  <si>
    <t>$13,000 for two life PPVUL</t>
  </si>
  <si>
    <t>$18,000 for three life PPVUL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</si>
</sst>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1DB4-7942-0E4F-A3DB-BD4B926669F5}">
  <dimension ref="A1:H43"/>
  <sheetViews>
    <sheetView tabSelected="1" workbookViewId="0">
      <selection activeCell="H25" sqref="H25"/>
    </sheetView>
  </sheetViews>
  <sheetFormatPr defaultColWidth="11" defaultRowHeight="15.95"/>
  <cols>
    <col min="3" max="3" width="4.625" customWidth="1"/>
  </cols>
  <sheetData>
    <row r="1" spans="1:8" ht="27">
      <c r="A1" s="6" t="s">
        <v>0</v>
      </c>
    </row>
    <row r="6" spans="1:8">
      <c r="A6" s="5" t="s">
        <v>1</v>
      </c>
      <c r="H6" t="s">
        <v>2</v>
      </c>
    </row>
    <row r="8" spans="1:8">
      <c r="B8" s="3" t="s">
        <v>3</v>
      </c>
      <c r="D8" s="4" t="s">
        <v>4</v>
      </c>
      <c r="E8" s="4" t="s">
        <v>5</v>
      </c>
      <c r="F8" s="4" t="s">
        <v>6</v>
      </c>
    </row>
    <row r="9" spans="1:8">
      <c r="A9" s="1" t="s">
        <v>7</v>
      </c>
      <c r="B9">
        <v>60</v>
      </c>
      <c r="D9">
        <v>27.500000000000004</v>
      </c>
      <c r="E9">
        <f>B9-D9-F9</f>
        <v>22.5</v>
      </c>
      <c r="F9">
        <v>10</v>
      </c>
    </row>
    <row r="10" spans="1:8">
      <c r="A10" s="2" t="s">
        <v>8</v>
      </c>
      <c r="B10">
        <v>50</v>
      </c>
      <c r="D10">
        <v>22</v>
      </c>
      <c r="E10">
        <f>B10-D10-F10</f>
        <v>18</v>
      </c>
      <c r="F10">
        <v>10</v>
      </c>
    </row>
    <row r="11" spans="1:8">
      <c r="A11" s="2" t="s">
        <v>9</v>
      </c>
      <c r="B11">
        <v>45</v>
      </c>
      <c r="D11">
        <v>19.25</v>
      </c>
      <c r="E11">
        <f>B11-D11-F11</f>
        <v>15.75</v>
      </c>
      <c r="F11">
        <v>10</v>
      </c>
    </row>
    <row r="12" spans="1:8">
      <c r="A12" s="2" t="s">
        <v>10</v>
      </c>
      <c r="B12">
        <v>40</v>
      </c>
      <c r="D12">
        <v>16.5</v>
      </c>
      <c r="E12">
        <f>B12-D12-F12</f>
        <v>13.5</v>
      </c>
      <c r="F12">
        <v>10</v>
      </c>
    </row>
    <row r="13" spans="1:8">
      <c r="A13" s="2" t="s">
        <v>11</v>
      </c>
      <c r="B13">
        <v>30</v>
      </c>
      <c r="D13">
        <v>15</v>
      </c>
      <c r="E13">
        <f>B13-D13-F13</f>
        <v>10</v>
      </c>
      <c r="F13">
        <v>5</v>
      </c>
    </row>
    <row r="14" spans="1:8">
      <c r="A14" s="2"/>
    </row>
    <row r="17" spans="1:8">
      <c r="A17" s="5" t="s">
        <v>12</v>
      </c>
      <c r="H17" t="s">
        <v>13</v>
      </c>
    </row>
    <row r="19" spans="1:8">
      <c r="B19" s="3" t="s">
        <v>3</v>
      </c>
      <c r="D19" s="4" t="s">
        <v>4</v>
      </c>
      <c r="E19" s="4" t="s">
        <v>5</v>
      </c>
      <c r="F19" s="4" t="s">
        <v>6</v>
      </c>
    </row>
    <row r="20" spans="1:8">
      <c r="A20" s="1" t="s">
        <v>7</v>
      </c>
      <c r="B20">
        <v>60</v>
      </c>
      <c r="D20">
        <f>D9</f>
        <v>27.500000000000004</v>
      </c>
      <c r="E20">
        <f>E9/2</f>
        <v>11.25</v>
      </c>
      <c r="F20">
        <f>B20-D20-E20</f>
        <v>21.25</v>
      </c>
    </row>
    <row r="21" spans="1:8">
      <c r="A21" s="2" t="s">
        <v>8</v>
      </c>
      <c r="B21">
        <v>50</v>
      </c>
      <c r="D21">
        <f>D10</f>
        <v>22</v>
      </c>
      <c r="E21">
        <f>E10/2</f>
        <v>9</v>
      </c>
      <c r="F21">
        <f>B21-D21-E21</f>
        <v>19</v>
      </c>
    </row>
    <row r="22" spans="1:8">
      <c r="A22" s="2" t="s">
        <v>9</v>
      </c>
      <c r="B22">
        <v>45</v>
      </c>
      <c r="D22">
        <f>D11</f>
        <v>19.25</v>
      </c>
      <c r="E22">
        <f>E11/2</f>
        <v>7.875</v>
      </c>
      <c r="F22">
        <f>B22-D22-E22</f>
        <v>17.875</v>
      </c>
    </row>
    <row r="23" spans="1:8">
      <c r="A23" s="2" t="s">
        <v>10</v>
      </c>
      <c r="B23">
        <v>40</v>
      </c>
      <c r="D23">
        <f>D12</f>
        <v>16.5</v>
      </c>
      <c r="E23">
        <f>E12/2</f>
        <v>6.75</v>
      </c>
      <c r="F23">
        <f>B23-D23-E23</f>
        <v>16.75</v>
      </c>
    </row>
    <row r="24" spans="1:8">
      <c r="A24" s="2" t="s">
        <v>11</v>
      </c>
      <c r="B24">
        <v>30</v>
      </c>
      <c r="D24">
        <f>D13</f>
        <v>15</v>
      </c>
      <c r="E24">
        <f>E13/2</f>
        <v>5</v>
      </c>
      <c r="F24">
        <f>B24-D24-E24</f>
        <v>10</v>
      </c>
    </row>
    <row r="25" spans="1:8">
      <c r="A25" s="2"/>
    </row>
    <row r="28" spans="1:8">
      <c r="A28" s="5" t="s">
        <v>14</v>
      </c>
      <c r="H28" t="s">
        <v>13</v>
      </c>
    </row>
    <row r="30" spans="1:8">
      <c r="B30" s="3" t="s">
        <v>3</v>
      </c>
      <c r="D30" s="4" t="s">
        <v>4</v>
      </c>
      <c r="E30" s="4" t="s">
        <v>5</v>
      </c>
      <c r="F30" s="4" t="s">
        <v>6</v>
      </c>
    </row>
    <row r="31" spans="1:8">
      <c r="A31" s="1" t="s">
        <v>7</v>
      </c>
      <c r="B31">
        <v>60</v>
      </c>
      <c r="D31">
        <f>D20</f>
        <v>27.500000000000004</v>
      </c>
      <c r="E31">
        <v>5</v>
      </c>
      <c r="F31">
        <f>B31-D31-E31</f>
        <v>27.5</v>
      </c>
    </row>
    <row r="32" spans="1:8">
      <c r="A32" s="2" t="s">
        <v>8</v>
      </c>
      <c r="B32">
        <v>50</v>
      </c>
      <c r="D32">
        <f>D21</f>
        <v>22</v>
      </c>
      <c r="E32">
        <v>5</v>
      </c>
      <c r="F32">
        <f>B32-D32-E32</f>
        <v>23</v>
      </c>
    </row>
    <row r="33" spans="1:6">
      <c r="A33" s="2" t="s">
        <v>9</v>
      </c>
      <c r="B33">
        <v>45</v>
      </c>
      <c r="D33">
        <f>D22</f>
        <v>19.25</v>
      </c>
      <c r="E33">
        <v>5</v>
      </c>
      <c r="F33">
        <f>B33-D33-E33</f>
        <v>20.75</v>
      </c>
    </row>
    <row r="34" spans="1:6">
      <c r="A34" s="2" t="s">
        <v>10</v>
      </c>
      <c r="B34">
        <v>40</v>
      </c>
      <c r="D34">
        <f>D23</f>
        <v>16.5</v>
      </c>
      <c r="E34">
        <v>5</v>
      </c>
      <c r="F34">
        <f>B34-D34-E34</f>
        <v>18.5</v>
      </c>
    </row>
    <row r="35" spans="1:6">
      <c r="A35" s="2" t="s">
        <v>11</v>
      </c>
      <c r="B35">
        <v>30</v>
      </c>
      <c r="D35">
        <f>D24</f>
        <v>15</v>
      </c>
      <c r="E35">
        <v>3</v>
      </c>
      <c r="F35">
        <f>B35-D35-E35</f>
        <v>12</v>
      </c>
    </row>
    <row r="36" spans="1:6">
      <c r="A36" s="2"/>
    </row>
    <row r="39" spans="1:6">
      <c r="A39" t="s">
        <v>15</v>
      </c>
    </row>
    <row r="40" spans="1:6">
      <c r="A40" t="s">
        <v>16</v>
      </c>
    </row>
    <row r="41" spans="1:6">
      <c r="A41" t="s">
        <v>17</v>
      </c>
    </row>
    <row r="42" spans="1:6">
      <c r="A42" t="s">
        <v>18</v>
      </c>
    </row>
    <row r="43" spans="1:6">
      <c r="A43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179EC7BAA3B4C8960759BCECE82C4" ma:contentTypeVersion="10" ma:contentTypeDescription="Create a new document." ma:contentTypeScope="" ma:versionID="ebf16ac6c01586f06e5ac4d08799cc9d">
  <xsd:schema xmlns:xsd="http://www.w3.org/2001/XMLSchema" xmlns:xs="http://www.w3.org/2001/XMLSchema" xmlns:p="http://schemas.microsoft.com/office/2006/metadata/properties" xmlns:ns2="1df343e7-5bdb-40d4-9440-f7a8bcca0d8a" targetNamespace="http://schemas.microsoft.com/office/2006/metadata/properties" ma:root="true" ma:fieldsID="9d90a90c09512a4c7b3d6a3ad139f09c" ns2:_="">
    <xsd:import namespace="1df343e7-5bdb-40d4-9440-f7a8bcca0d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grg" minOccurs="0"/>
                <xsd:element ref="ns2:ToolType" minOccurs="0"/>
                <xsd:element ref="ns2:DocumentPurpose" minOccurs="0"/>
                <xsd:element ref="ns2:Status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343e7-5bdb-40d4-9440-f7a8bcca0d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grg" ma:index="11" nillable="true" ma:displayName=" Strategy Category" ma:format="Dropdown" ma:internalName="rgrg" ma:requiredMultiChoice="tru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tirement"/>
                        <xsd:enumeration value="Annuities"/>
                        <xsd:enumeration value="Life Insurance-Based Strategies"/>
                        <xsd:enumeration value="Alternative Investment Structures"/>
                        <xsd:enumeration value="Protection Planning"/>
                        <xsd:enumeration value="Other Planning Tools"/>
                        <xsd:enumeration value="Real Estate"/>
                        <xsd:enumeration value="Tax Planning"/>
                        <xsd:enumeration value="estate planning"/>
                        <xsd:enumeration value="Gifting strategy"/>
                        <xsd:enumeration value="Income Planning"/>
                        <xsd:enumeration value="Financial Planning Process"/>
                        <xsd:enumeration value="Executive Compensation"/>
                        <xsd:enumeration value="TPBC Related"/>
                        <xsd:enumeration value="Prospecting Strateg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ToolType" ma:index="12" nillable="true" ma:displayName="Tool Type" ma:format="Dropdown" ma:internalName="ToolType" ma:requiredMultiChoice="tru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IRA"/>
                        <xsd:enumeration value="401(k)"/>
                        <xsd:enumeration value="MYGA"/>
                        <xsd:enumeration value="SPIA"/>
                        <xsd:enumeration value="FIA"/>
                        <xsd:enumeration value="VUL Annuity"/>
                        <xsd:enumeration value="Deferred Income Annuity (DIA)"/>
                        <xsd:enumeration value="101(a) Plan"/>
                        <xsd:enumeration value="Split Dollar Planning"/>
                        <xsd:enumeration value="Premium Financing"/>
                        <xsd:enumeration value="PPLI"/>
                        <xsd:enumeration value="VUL (Variable Universal Life)"/>
                        <xsd:enumeration value="IUL (Indexed Universal Life)"/>
                        <xsd:enumeration value="Whole Life"/>
                        <xsd:enumeration value="Term Life"/>
                        <xsd:enumeration value="1031 Exchange"/>
                        <xsd:enumeration value="DST (Delaware Statutory Trust)"/>
                        <xsd:enumeration value="QOZ (Qualified Opportunity Zone)"/>
                        <xsd:enumeration value="Real Estate Exit Planning"/>
                        <xsd:enumeration value="Cost Segregation"/>
                        <xsd:enumeration value="SMA (Separately Managed Account)"/>
                        <xsd:enumeration value="IDF (Insurance Dedicated Fund)"/>
                        <xsd:enumeration value="Disability Insurance"/>
                        <xsd:enumeration value="Buy-Sell Agreement Funding"/>
                        <xsd:enumeration value="Long term care insurance"/>
                        <xsd:enumeration value="Living trust"/>
                        <xsd:enumeration value="financial planning process"/>
                        <xsd:enumeration value="1035 exchange"/>
                        <xsd:enumeration value="403(b)"/>
                        <xsd:enumeration value="Will"/>
                        <xsd:enumeration value="Tax Deferred accounts"/>
                        <xsd:enumeration value="NA"/>
                        <xsd:enumeration value="Life insurance"/>
                        <xsd:enumeration value="Advisor Development"/>
                        <xsd:enumeration value="Trusts"/>
                        <xsd:enumeration value="Life Settlemen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DocumentPurpose" ma:index="13" nillable="true" ma:displayName="Document Purpose" ma:format="Dropdown" ma:internalName="DocumentPurpose" ma:requiredMultiChoice="tru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dvisor Training"/>
                        <xsd:enumeration value="Client-Facing"/>
                        <xsd:enumeration value="Case Study"/>
                        <xsd:enumeration value="Compliance Template"/>
                        <xsd:enumeration value="Internal Draft"/>
                        <xsd:enumeration value="Advisor Templates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Status" ma:index="14" ma:displayName="Status" ma:format="Dropdown" ma:internalName="Status">
      <xsd:simpleType>
        <xsd:union memberTypes="dms:Text">
          <xsd:simpleType>
            <xsd:restriction base="dms:Choice">
              <xsd:enumeration value="Draft"/>
              <xsd:enumeration value="In Review"/>
              <xsd:enumeration value="Final"/>
              <xsd:enumeration value="Needs Update"/>
              <xsd:enumeration value="Reviewed By The Fellowship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Document Nam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olType xmlns="1df343e7-5bdb-40d4-9440-f7a8bcca0d8a">
      <Value>PPLI</Value>
    </ToolType>
    <Status xmlns="1df343e7-5bdb-40d4-9440-f7a8bcca0d8a">In Review</Status>
    <DocumentPurpose xmlns="1df343e7-5bdb-40d4-9440-f7a8bcca0d8a">
      <Value>Internal Draft</Value>
    </DocumentPurpose>
    <rgrg xmlns="1df343e7-5bdb-40d4-9440-f7a8bcca0d8a"/>
  </documentManagement>
</p:properties>
</file>

<file path=customXml/itemProps1.xml><?xml version="1.0" encoding="utf-8"?>
<ds:datastoreItem xmlns:ds="http://schemas.openxmlformats.org/officeDocument/2006/customXml" ds:itemID="{F9A7822C-3DD2-4A7D-82F2-768837C6ECD1}"/>
</file>

<file path=customXml/itemProps2.xml><?xml version="1.0" encoding="utf-8"?>
<ds:datastoreItem xmlns:ds="http://schemas.openxmlformats.org/officeDocument/2006/customXml" ds:itemID="{C20A6832-06BE-40FD-AE84-B8278870DBA8}"/>
</file>

<file path=customXml/itemProps3.xml><?xml version="1.0" encoding="utf-8"?>
<ds:datastoreItem xmlns:ds="http://schemas.openxmlformats.org/officeDocument/2006/customXml" ds:itemID="{25F46C91-D8EB-42B1-AE1B-60B53BF44E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Jensen</dc:creator>
  <cp:keywords/>
  <dc:description/>
  <cp:lastModifiedBy>RJ Pinney</cp:lastModifiedBy>
  <cp:revision/>
  <dcterms:created xsi:type="dcterms:W3CDTF">2024-07-09T16:52:51Z</dcterms:created>
  <dcterms:modified xsi:type="dcterms:W3CDTF">2025-09-19T23:29:14Z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0x010100AA2179EC7BAA3B4C8960759BCECE82C4</vt:lpwstr>
  </property>
  <property fmtid="{D5CDD505-2E9C-101B-9397-08002B2CF9AE}" pid="3" name="StrategyCategory">
    <vt:lpwstr>;#Alternative Investment Structures;#Life Insurance-Based Strategies;#</vt:lpwstr>
  </property>
  <property fmtid="{D5CDD505-2E9C-101B-9397-08002B2CF9AE}" pid="4" name="Order">
    <vt:r8>18100</vt:r8>
  </property>
  <property fmtid="{D5CDD505-2E9C-101B-9397-08002B2CF9AE}" pid="5" name="ToolType">
    <vt:lpwstr>;#PPLI;#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Status">
    <vt:lpwstr>In Review</vt:lpwstr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DocumentPurpose">
    <vt:lpwstr>;#Internal Draft;#</vt:lpwstr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