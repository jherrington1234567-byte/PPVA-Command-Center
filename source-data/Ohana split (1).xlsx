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cificbridge.sharepoint.com/sites/ideas/Ideas Team/PPLI WORKING FOLDER/"/>
    </mc:Choice>
  </mc:AlternateContent>
  <xr:revisionPtr revIDLastSave="220" documentId="13_ncr:1_{3C5C72AB-CA3A-3943-A2B3-335DB0864F91}" xr6:coauthVersionLast="47" xr6:coauthVersionMax="47" xr10:uidLastSave="{14225773-096D-447F-AFD6-21A1FDEDF298}"/>
  <bookViews>
    <workbookView xWindow="-108" yWindow="-108" windowWidth="23256" windowHeight="12456" xr2:uid="{B78B9076-BDE6-EE43-8626-90F7C719F4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D21" i="1"/>
  <c r="D19" i="1"/>
  <c r="E19" i="1"/>
  <c r="D20" i="1"/>
  <c r="F30" i="1"/>
  <c r="E20" i="1"/>
  <c r="E21" i="1"/>
  <c r="F21" i="1"/>
  <c r="E17" i="1"/>
  <c r="D17" i="1"/>
  <c r="F31" i="1"/>
  <c r="D18" i="1"/>
  <c r="F20" i="1"/>
  <c r="F19" i="1"/>
  <c r="F29" i="1"/>
  <c r="F17" i="1"/>
  <c r="F27" i="1"/>
  <c r="F18" i="1"/>
  <c r="F28" i="1"/>
</calcChain>
</file>

<file path=xl/sharedStrings.xml><?xml version="1.0" encoding="utf-8"?>
<sst xmlns="http://schemas.openxmlformats.org/spreadsheetml/2006/main" count="106" uniqueCount="35">
  <si>
    <t>OHANA GLOBAL ALLIANCE PRICING PROPOSAL*</t>
  </si>
  <si>
    <t>OGA PHASE 1 - 3c Does all work (Beth Engaged) - Intermediary Pricing</t>
  </si>
  <si>
    <t>SAM/BETH</t>
  </si>
  <si>
    <t>Admin Fee Includes</t>
  </si>
  <si>
    <t>Merkkuri</t>
  </si>
  <si>
    <t>Asset Management Includes</t>
  </si>
  <si>
    <t>Axonic</t>
  </si>
  <si>
    <t>Admin Fee</t>
  </si>
  <si>
    <t>Advantage</t>
  </si>
  <si>
    <t>3c</t>
  </si>
  <si>
    <t>OGA</t>
  </si>
  <si>
    <t>Optional Premium Load</t>
  </si>
  <si>
    <t>Total Asset Management Fee</t>
  </si>
  <si>
    <t>PSP, LLC</t>
  </si>
  <si>
    <t>OGA (Solicitor Fee)</t>
  </si>
  <si>
    <t>Investment Advisor Fee</t>
  </si>
  <si>
    <t>OR</t>
  </si>
  <si>
    <t>Marketing Allowance</t>
  </si>
  <si>
    <t>Proprietary OGA Marketing Allowance</t>
  </si>
  <si>
    <t>2-3</t>
  </si>
  <si>
    <t>0-10.00</t>
  </si>
  <si>
    <t>1.500 - 8.600</t>
  </si>
  <si>
    <t>3-4</t>
  </si>
  <si>
    <t>4-7</t>
  </si>
  <si>
    <t>7-10</t>
  </si>
  <si>
    <t>10+</t>
  </si>
  <si>
    <t>OGA PHASE 2 - 3c directs/teaches the work - Intermediary Pricing (admin by OGA)</t>
  </si>
  <si>
    <t>SAM</t>
  </si>
  <si>
    <t>OGA PHASE 2 - 3c infrastructure and high level support only - Intermediary Pricing</t>
  </si>
  <si>
    <t>* All PPVULs and PPVAs have the following establishment fees:</t>
  </si>
  <si>
    <t>$1,000 for PPVA</t>
  </si>
  <si>
    <t xml:space="preserve"> </t>
  </si>
  <si>
    <t>$7,000 for single life PPVUL</t>
  </si>
  <si>
    <t>$13,000 for two life PPVUL</t>
  </si>
  <si>
    <t>$18,000 for three life PPVUL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</si>
</sst>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0" fillId="0" borderId="3" xfId="0" applyNumberFormat="1" applyBorder="1" applyAlignment="1">
      <alignment horizontal="center" wrapText="1"/>
    </xf>
    <xf numFmtId="164" fontId="0" fillId="0" borderId="4" xfId="0" applyNumberFormat="1" applyBorder="1" applyAlignment="1">
      <alignment horizontal="center" wrapText="1"/>
    </xf>
    <xf numFmtId="164" fontId="0" fillId="0" borderId="5" xfId="0" applyNumberForma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styles" Target="styles.xml" /><Relationship Id="rId7" Type="http://schemas.openxmlformats.org/officeDocument/2006/relationships/customXml" Target="../customXml/item2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1DB4-7942-0E4F-A3DB-BD4B926669F5}">
  <dimension ref="A1:Z38"/>
  <sheetViews>
    <sheetView tabSelected="1" topLeftCell="I13" workbookViewId="0">
      <selection activeCell="R27" sqref="R27:R31"/>
    </sheetView>
  </sheetViews>
  <sheetFormatPr defaultColWidth="10.97265625" defaultRowHeight="16.5" x14ac:dyDescent="0.25"/>
  <cols>
    <col min="3" max="3" width="4.5625" customWidth="1"/>
    <col min="4" max="6" width="10.97265625" style="5"/>
    <col min="11" max="11" width="11.7109375" style="7" bestFit="1" customWidth="1"/>
    <col min="12" max="12" width="8.26171875" style="7" bestFit="1" customWidth="1"/>
    <col min="13" max="13" width="8.3828125" style="7" bestFit="1" customWidth="1"/>
    <col min="14" max="14" width="11.21875" style="7" customWidth="1"/>
    <col min="15" max="15" width="4.3125" style="7" customWidth="1"/>
    <col min="16" max="16" width="9.4921875" style="7" bestFit="1" customWidth="1"/>
    <col min="18" max="18" width="11.21875" bestFit="1" customWidth="1"/>
  </cols>
  <sheetData>
    <row r="1" spans="1:26" ht="27" x14ac:dyDescent="0.4">
      <c r="A1" s="4" t="s">
        <v>0</v>
      </c>
    </row>
    <row r="4" spans="1:26" x14ac:dyDescent="0.25">
      <c r="A4" s="3" t="s">
        <v>1</v>
      </c>
      <c r="I4" t="s">
        <v>2</v>
      </c>
    </row>
    <row r="5" spans="1:26" x14ac:dyDescent="0.25">
      <c r="D5" s="44" t="s">
        <v>3</v>
      </c>
      <c r="E5" s="45"/>
      <c r="F5" s="46"/>
      <c r="K5" s="13" t="s">
        <v>4</v>
      </c>
      <c r="L5" s="41" t="s">
        <v>5</v>
      </c>
      <c r="M5" s="42"/>
      <c r="N5" s="42"/>
      <c r="O5" s="42"/>
      <c r="P5" s="43"/>
      <c r="R5" s="39" t="s">
        <v>6</v>
      </c>
    </row>
    <row r="6" spans="1:26" s="26" customFormat="1" ht="59.25" x14ac:dyDescent="0.25">
      <c r="B6" s="27" t="s">
        <v>7</v>
      </c>
      <c r="C6" s="8"/>
      <c r="D6" s="31" t="s">
        <v>8</v>
      </c>
      <c r="E6" s="32" t="s">
        <v>9</v>
      </c>
      <c r="F6" s="33" t="s">
        <v>10</v>
      </c>
      <c r="I6" s="12" t="s">
        <v>11</v>
      </c>
      <c r="J6" s="12"/>
      <c r="K6" s="12" t="s">
        <v>12</v>
      </c>
      <c r="L6" s="24" t="s">
        <v>13</v>
      </c>
      <c r="M6" s="12" t="s">
        <v>14</v>
      </c>
      <c r="N6" s="12" t="s">
        <v>15</v>
      </c>
      <c r="O6" s="13" t="s">
        <v>16</v>
      </c>
      <c r="P6" s="25" t="s">
        <v>17</v>
      </c>
      <c r="Q6" s="8"/>
      <c r="R6" s="12" t="s">
        <v>18</v>
      </c>
    </row>
    <row r="7" spans="1:26" x14ac:dyDescent="0.25">
      <c r="A7" s="1" t="s">
        <v>19</v>
      </c>
      <c r="B7" s="28">
        <v>0.6</v>
      </c>
      <c r="C7" s="29"/>
      <c r="D7" s="34">
        <v>0.27500000000000002</v>
      </c>
      <c r="E7" s="29">
        <v>0.22500000000000001</v>
      </c>
      <c r="F7" s="35">
        <v>0.1</v>
      </c>
      <c r="G7" s="30"/>
      <c r="H7" s="30"/>
      <c r="I7" s="22" t="s">
        <v>20</v>
      </c>
      <c r="J7" s="10"/>
      <c r="K7" s="23">
        <v>1.27</v>
      </c>
      <c r="L7" s="17">
        <v>0.56999999999999995</v>
      </c>
      <c r="M7" s="11">
        <v>0.1</v>
      </c>
      <c r="N7" s="11">
        <v>0.6</v>
      </c>
      <c r="O7" s="11"/>
      <c r="P7" s="18">
        <v>0.6</v>
      </c>
      <c r="Q7" s="5"/>
      <c r="R7" s="6" t="s">
        <v>21</v>
      </c>
    </row>
    <row r="8" spans="1:26" x14ac:dyDescent="0.25">
      <c r="A8" s="2" t="s">
        <v>22</v>
      </c>
      <c r="B8" s="28">
        <v>0.5</v>
      </c>
      <c r="C8" s="29"/>
      <c r="D8" s="34">
        <v>0.22</v>
      </c>
      <c r="E8" s="29">
        <v>0.18</v>
      </c>
      <c r="F8" s="35">
        <v>0.1</v>
      </c>
      <c r="G8" s="30"/>
      <c r="H8" s="30"/>
      <c r="I8" s="22" t="s">
        <v>20</v>
      </c>
      <c r="J8" s="10"/>
      <c r="K8" s="23">
        <v>1.27</v>
      </c>
      <c r="L8" s="17">
        <v>0.56999999999999995</v>
      </c>
      <c r="M8" s="11">
        <v>0.1</v>
      </c>
      <c r="N8" s="11">
        <v>0.6</v>
      </c>
      <c r="O8" s="11"/>
      <c r="P8" s="18">
        <v>0.6</v>
      </c>
      <c r="Q8" s="5"/>
      <c r="R8" s="6" t="s">
        <v>21</v>
      </c>
    </row>
    <row r="9" spans="1:26" ht="15.6" customHeight="1" x14ac:dyDescent="0.25">
      <c r="A9" s="2" t="s">
        <v>23</v>
      </c>
      <c r="B9" s="28">
        <v>0.45</v>
      </c>
      <c r="C9" s="29"/>
      <c r="D9" s="34">
        <v>0.1925</v>
      </c>
      <c r="E9" s="29">
        <v>0.1575</v>
      </c>
      <c r="F9" s="35">
        <v>0.1</v>
      </c>
      <c r="G9" s="30"/>
      <c r="H9" s="30"/>
      <c r="I9" s="22" t="s">
        <v>20</v>
      </c>
      <c r="J9" s="10"/>
      <c r="K9" s="23">
        <v>1.27</v>
      </c>
      <c r="L9" s="17">
        <v>0.56999999999999995</v>
      </c>
      <c r="M9" s="11">
        <v>0.1</v>
      </c>
      <c r="N9" s="11">
        <v>0.6</v>
      </c>
      <c r="O9" s="11"/>
      <c r="P9" s="18">
        <v>0.6</v>
      </c>
      <c r="Q9" s="5"/>
      <c r="R9" s="6" t="s">
        <v>21</v>
      </c>
    </row>
    <row r="10" spans="1:26" x14ac:dyDescent="0.25">
      <c r="A10" s="2" t="s">
        <v>24</v>
      </c>
      <c r="B10" s="28">
        <v>0.4</v>
      </c>
      <c r="C10" s="29"/>
      <c r="D10" s="34">
        <v>0.16500000000000001</v>
      </c>
      <c r="E10" s="29">
        <v>0.13500000000000001</v>
      </c>
      <c r="F10" s="35">
        <v>0.1</v>
      </c>
      <c r="G10" s="30"/>
      <c r="H10" s="30"/>
      <c r="I10" s="22" t="s">
        <v>20</v>
      </c>
      <c r="J10" s="10"/>
      <c r="K10" s="23">
        <v>1.27</v>
      </c>
      <c r="L10" s="17">
        <v>0.56999999999999995</v>
      </c>
      <c r="M10" s="11">
        <v>0.1</v>
      </c>
      <c r="N10" s="11">
        <v>0.6</v>
      </c>
      <c r="O10" s="11"/>
      <c r="P10" s="18">
        <v>0.6</v>
      </c>
      <c r="Q10" s="5"/>
      <c r="R10" s="6" t="s">
        <v>21</v>
      </c>
    </row>
    <row r="11" spans="1:26" x14ac:dyDescent="0.25">
      <c r="A11" s="2" t="s">
        <v>25</v>
      </c>
      <c r="B11" s="28">
        <v>0.3</v>
      </c>
      <c r="C11" s="29"/>
      <c r="D11" s="36">
        <v>0.15</v>
      </c>
      <c r="E11" s="37">
        <v>0.1</v>
      </c>
      <c r="F11" s="38">
        <v>0.05</v>
      </c>
      <c r="G11" s="30"/>
      <c r="H11" s="30"/>
      <c r="I11" s="22" t="s">
        <v>20</v>
      </c>
      <c r="J11" s="10"/>
      <c r="K11" s="23">
        <v>1.27</v>
      </c>
      <c r="L11" s="19">
        <v>0.56999999999999995</v>
      </c>
      <c r="M11" s="20">
        <v>0.1</v>
      </c>
      <c r="N11" s="20">
        <v>0.6</v>
      </c>
      <c r="O11" s="20"/>
      <c r="P11" s="21">
        <v>0.6</v>
      </c>
      <c r="Q11" s="5"/>
      <c r="R11" s="6" t="s">
        <v>21</v>
      </c>
    </row>
    <row r="12" spans="1:26" x14ac:dyDescent="0.25">
      <c r="A12" s="2"/>
    </row>
    <row r="14" spans="1:26" x14ac:dyDescent="0.25">
      <c r="A14" s="3" t="s">
        <v>26</v>
      </c>
      <c r="I14" t="s">
        <v>27</v>
      </c>
    </row>
    <row r="15" spans="1:26" x14ac:dyDescent="0.25">
      <c r="D15" s="44" t="s">
        <v>3</v>
      </c>
      <c r="E15" s="45"/>
      <c r="F15" s="46"/>
      <c r="K15" s="13" t="s">
        <v>4</v>
      </c>
      <c r="L15" s="41" t="s">
        <v>5</v>
      </c>
      <c r="M15" s="42"/>
      <c r="N15" s="42"/>
      <c r="O15" s="42"/>
      <c r="P15" s="43"/>
      <c r="R15" s="39" t="s">
        <v>6</v>
      </c>
      <c r="U15" s="7"/>
      <c r="V15" s="7"/>
      <c r="W15" s="7"/>
      <c r="X15" s="7"/>
      <c r="Y15" s="7"/>
      <c r="Z15" s="7"/>
    </row>
    <row r="16" spans="1:26" s="26" customFormat="1" ht="59.25" x14ac:dyDescent="0.25">
      <c r="B16" s="27" t="s">
        <v>7</v>
      </c>
      <c r="C16" s="8"/>
      <c r="D16" s="31" t="s">
        <v>8</v>
      </c>
      <c r="E16" s="32" t="s">
        <v>9</v>
      </c>
      <c r="F16" s="33" t="s">
        <v>10</v>
      </c>
      <c r="I16" s="12" t="s">
        <v>11</v>
      </c>
      <c r="J16" s="12"/>
      <c r="K16" s="12" t="s">
        <v>12</v>
      </c>
      <c r="L16" s="24" t="s">
        <v>13</v>
      </c>
      <c r="M16" s="12" t="s">
        <v>14</v>
      </c>
      <c r="N16" s="12" t="s">
        <v>15</v>
      </c>
      <c r="O16" s="13" t="s">
        <v>16</v>
      </c>
      <c r="P16" s="25" t="s">
        <v>17</v>
      </c>
      <c r="Q16" s="5"/>
      <c r="R16" s="12" t="s">
        <v>18</v>
      </c>
      <c r="U16" s="7"/>
      <c r="V16" s="7"/>
      <c r="W16" s="7"/>
      <c r="X16" s="7"/>
      <c r="Y16" s="7"/>
      <c r="Z16" s="7"/>
    </row>
    <row r="17" spans="1:26" x14ac:dyDescent="0.25">
      <c r="A17" s="1" t="s">
        <v>19</v>
      </c>
      <c r="B17" s="28">
        <v>0.6</v>
      </c>
      <c r="C17" s="10"/>
      <c r="D17" s="34">
        <f>D7</f>
        <v>0.27500000000000002</v>
      </c>
      <c r="E17" s="29">
        <f>E7/2</f>
        <v>0.1125</v>
      </c>
      <c r="F17" s="35">
        <f>B17-D17-E17</f>
        <v>0.21249999999999997</v>
      </c>
      <c r="G17" s="30"/>
      <c r="H17" s="30"/>
      <c r="I17" s="23" t="s">
        <v>20</v>
      </c>
      <c r="J17" s="11"/>
      <c r="K17" s="23">
        <v>1.27</v>
      </c>
      <c r="L17" s="17">
        <v>0.56999999999999995</v>
      </c>
      <c r="M17" s="11">
        <v>0.1</v>
      </c>
      <c r="N17" s="11">
        <v>0.6</v>
      </c>
      <c r="O17" s="11"/>
      <c r="P17" s="18">
        <v>0.6</v>
      </c>
      <c r="Q17" s="8"/>
      <c r="R17" s="6" t="s">
        <v>21</v>
      </c>
      <c r="U17" s="7"/>
      <c r="V17" s="7"/>
      <c r="W17" s="7"/>
      <c r="X17" s="7"/>
      <c r="Y17" s="7"/>
      <c r="Z17" s="7"/>
    </row>
    <row r="18" spans="1:26" x14ac:dyDescent="0.25">
      <c r="A18" s="2" t="s">
        <v>22</v>
      </c>
      <c r="B18" s="28">
        <v>0.5</v>
      </c>
      <c r="C18" s="10"/>
      <c r="D18" s="34">
        <f>D8</f>
        <v>0.22</v>
      </c>
      <c r="E18" s="29">
        <f>E8/2</f>
        <v>0.09</v>
      </c>
      <c r="F18" s="35">
        <f>B18-D18-E18</f>
        <v>0.19000000000000003</v>
      </c>
      <c r="G18" s="30"/>
      <c r="H18" s="30"/>
      <c r="I18" s="22" t="s">
        <v>20</v>
      </c>
      <c r="J18" s="10"/>
      <c r="K18" s="23">
        <v>1.27</v>
      </c>
      <c r="L18" s="17">
        <v>0.56999999999999995</v>
      </c>
      <c r="M18" s="11">
        <v>0.1</v>
      </c>
      <c r="N18" s="11">
        <v>0.6</v>
      </c>
      <c r="O18" s="11"/>
      <c r="P18" s="18">
        <v>0.6</v>
      </c>
      <c r="Q18" s="5"/>
      <c r="R18" s="6" t="s">
        <v>21</v>
      </c>
      <c r="U18" s="7"/>
      <c r="V18" s="7"/>
      <c r="W18" s="7"/>
      <c r="X18" s="7"/>
      <c r="Y18" s="7"/>
      <c r="Z18" s="7"/>
    </row>
    <row r="19" spans="1:26" x14ac:dyDescent="0.25">
      <c r="A19" s="2" t="s">
        <v>23</v>
      </c>
      <c r="B19" s="28">
        <v>0.45</v>
      </c>
      <c r="C19" s="10"/>
      <c r="D19" s="34">
        <f>D9</f>
        <v>0.1925</v>
      </c>
      <c r="E19" s="29">
        <f>E9/2</f>
        <v>7.8750000000000001E-2</v>
      </c>
      <c r="F19" s="35">
        <f>B19-D19-E19</f>
        <v>0.17875000000000002</v>
      </c>
      <c r="G19" s="30"/>
      <c r="H19" s="30"/>
      <c r="I19" s="22" t="s">
        <v>20</v>
      </c>
      <c r="J19" s="10"/>
      <c r="K19" s="23">
        <v>1.27</v>
      </c>
      <c r="L19" s="17">
        <v>0.56999999999999995</v>
      </c>
      <c r="M19" s="11">
        <v>0.1</v>
      </c>
      <c r="N19" s="11">
        <v>0.6</v>
      </c>
      <c r="O19" s="11"/>
      <c r="P19" s="18">
        <v>0.6</v>
      </c>
      <c r="Q19" s="5"/>
      <c r="R19" s="6" t="s">
        <v>21</v>
      </c>
      <c r="U19" s="7"/>
      <c r="V19" s="7"/>
      <c r="W19" s="7"/>
      <c r="X19" s="7"/>
      <c r="Y19" s="7"/>
      <c r="Z19" s="7"/>
    </row>
    <row r="20" spans="1:26" x14ac:dyDescent="0.25">
      <c r="A20" s="2" t="s">
        <v>24</v>
      </c>
      <c r="B20" s="28">
        <v>0.4</v>
      </c>
      <c r="C20" s="10"/>
      <c r="D20" s="34">
        <f>D10</f>
        <v>0.16500000000000001</v>
      </c>
      <c r="E20" s="29">
        <f>E10/2</f>
        <v>6.7500000000000004E-2</v>
      </c>
      <c r="F20" s="35">
        <f>B20-D20-E20</f>
        <v>0.16750000000000001</v>
      </c>
      <c r="G20" s="30"/>
      <c r="H20" s="30"/>
      <c r="I20" s="22" t="s">
        <v>20</v>
      </c>
      <c r="J20" s="10"/>
      <c r="K20" s="23">
        <v>1.27</v>
      </c>
      <c r="L20" s="17">
        <v>0.56999999999999995</v>
      </c>
      <c r="M20" s="11">
        <v>0.1</v>
      </c>
      <c r="N20" s="11">
        <v>0.6</v>
      </c>
      <c r="O20" s="11"/>
      <c r="P20" s="18">
        <v>0.6</v>
      </c>
      <c r="Q20" s="5"/>
      <c r="R20" s="6" t="s">
        <v>21</v>
      </c>
      <c r="U20" s="7"/>
      <c r="V20" s="7"/>
      <c r="W20" s="7"/>
      <c r="X20" s="7"/>
      <c r="Y20" s="7"/>
      <c r="Z20" s="7"/>
    </row>
    <row r="21" spans="1:26" x14ac:dyDescent="0.25">
      <c r="A21" s="2" t="s">
        <v>25</v>
      </c>
      <c r="B21" s="28">
        <v>0.3</v>
      </c>
      <c r="C21" s="10"/>
      <c r="D21" s="36">
        <f>D11</f>
        <v>0.15</v>
      </c>
      <c r="E21" s="37">
        <f>E11/2</f>
        <v>0.05</v>
      </c>
      <c r="F21" s="38">
        <f>B21-D21-E21</f>
        <v>9.9999999999999992E-2</v>
      </c>
      <c r="G21" s="30"/>
      <c r="H21" s="30"/>
      <c r="I21" s="22" t="s">
        <v>20</v>
      </c>
      <c r="J21" s="10"/>
      <c r="K21" s="23">
        <v>1.27</v>
      </c>
      <c r="L21" s="19">
        <v>0.56999999999999995</v>
      </c>
      <c r="M21" s="20">
        <v>0.1</v>
      </c>
      <c r="N21" s="20">
        <v>0.6</v>
      </c>
      <c r="O21" s="20"/>
      <c r="P21" s="21">
        <v>0.6</v>
      </c>
      <c r="Q21" s="5"/>
      <c r="R21" s="6" t="s">
        <v>21</v>
      </c>
      <c r="U21" s="7"/>
      <c r="V21" s="7"/>
      <c r="W21" s="7"/>
      <c r="X21" s="7"/>
      <c r="Y21" s="7"/>
      <c r="Z21" s="7"/>
    </row>
    <row r="22" spans="1:26" x14ac:dyDescent="0.25">
      <c r="A22" s="2"/>
    </row>
    <row r="24" spans="1:26" x14ac:dyDescent="0.25">
      <c r="A24" s="3" t="s">
        <v>28</v>
      </c>
      <c r="I24" t="s">
        <v>27</v>
      </c>
      <c r="L24" s="40"/>
      <c r="M24" s="40"/>
      <c r="N24" s="40"/>
      <c r="O24" s="40"/>
      <c r="P24" s="40"/>
    </row>
    <row r="25" spans="1:26" x14ac:dyDescent="0.25">
      <c r="D25" s="44" t="s">
        <v>3</v>
      </c>
      <c r="E25" s="45"/>
      <c r="F25" s="46"/>
      <c r="K25" s="13" t="s">
        <v>4</v>
      </c>
      <c r="L25" s="41" t="s">
        <v>5</v>
      </c>
      <c r="M25" s="42"/>
      <c r="N25" s="42"/>
      <c r="O25" s="42"/>
      <c r="P25" s="43"/>
      <c r="R25" s="39" t="s">
        <v>6</v>
      </c>
    </row>
    <row r="26" spans="1:26" ht="59.25" x14ac:dyDescent="0.25">
      <c r="B26" s="9" t="s">
        <v>7</v>
      </c>
      <c r="C26" s="5"/>
      <c r="D26" s="14" t="s">
        <v>8</v>
      </c>
      <c r="E26" s="15" t="s">
        <v>9</v>
      </c>
      <c r="F26" s="16" t="s">
        <v>10</v>
      </c>
      <c r="I26" s="12" t="s">
        <v>11</v>
      </c>
      <c r="J26" s="12"/>
      <c r="K26" s="12" t="s">
        <v>12</v>
      </c>
      <c r="L26" s="24" t="s">
        <v>13</v>
      </c>
      <c r="M26" s="12" t="s">
        <v>14</v>
      </c>
      <c r="N26" s="12" t="s">
        <v>15</v>
      </c>
      <c r="O26" s="13" t="s">
        <v>16</v>
      </c>
      <c r="P26" s="25" t="s">
        <v>17</v>
      </c>
      <c r="Q26" s="5"/>
      <c r="R26" s="12" t="s">
        <v>18</v>
      </c>
    </row>
    <row r="27" spans="1:26" x14ac:dyDescent="0.25">
      <c r="A27" s="1" t="s">
        <v>19</v>
      </c>
      <c r="B27" s="28">
        <v>0.6</v>
      </c>
      <c r="C27" s="10"/>
      <c r="D27" s="34">
        <v>0.27500000000000002</v>
      </c>
      <c r="E27" s="29">
        <v>0.05</v>
      </c>
      <c r="F27" s="35">
        <f>B27-D27-E27</f>
        <v>0.27499999999999997</v>
      </c>
      <c r="G27" s="10"/>
      <c r="H27" s="10"/>
      <c r="I27" s="22" t="s">
        <v>20</v>
      </c>
      <c r="J27" s="10"/>
      <c r="K27" s="23">
        <v>1.27</v>
      </c>
      <c r="L27" s="17">
        <v>0.56999999999999995</v>
      </c>
      <c r="M27" s="11">
        <v>0.1</v>
      </c>
      <c r="N27" s="11">
        <v>0.6</v>
      </c>
      <c r="O27" s="11"/>
      <c r="P27" s="18">
        <v>0.6</v>
      </c>
      <c r="Q27" s="5"/>
      <c r="R27" s="6" t="s">
        <v>21</v>
      </c>
    </row>
    <row r="28" spans="1:26" x14ac:dyDescent="0.25">
      <c r="A28" s="2" t="s">
        <v>22</v>
      </c>
      <c r="B28" s="28">
        <v>0.5</v>
      </c>
      <c r="C28" s="10"/>
      <c r="D28" s="34">
        <v>0.22</v>
      </c>
      <c r="E28" s="29">
        <v>0.05</v>
      </c>
      <c r="F28" s="35">
        <f>B28-D28-E28</f>
        <v>0.23000000000000004</v>
      </c>
      <c r="G28" s="10"/>
      <c r="H28" s="10"/>
      <c r="I28" s="22" t="s">
        <v>20</v>
      </c>
      <c r="J28" s="10"/>
      <c r="K28" s="23">
        <v>1.27</v>
      </c>
      <c r="L28" s="17">
        <v>0.56999999999999995</v>
      </c>
      <c r="M28" s="11">
        <v>0.1</v>
      </c>
      <c r="N28" s="11">
        <v>0.6</v>
      </c>
      <c r="O28" s="11"/>
      <c r="P28" s="18">
        <v>0.6</v>
      </c>
      <c r="Q28" s="5"/>
      <c r="R28" s="6" t="s">
        <v>21</v>
      </c>
    </row>
    <row r="29" spans="1:26" x14ac:dyDescent="0.25">
      <c r="A29" s="2" t="s">
        <v>23</v>
      </c>
      <c r="B29" s="28">
        <v>0.45</v>
      </c>
      <c r="C29" s="10"/>
      <c r="D29" s="34">
        <v>0.1925</v>
      </c>
      <c r="E29" s="29">
        <v>0.05</v>
      </c>
      <c r="F29" s="35">
        <f>B29-D29-E29</f>
        <v>0.20750000000000002</v>
      </c>
      <c r="G29" s="10"/>
      <c r="H29" s="10"/>
      <c r="I29" s="22" t="s">
        <v>20</v>
      </c>
      <c r="J29" s="10"/>
      <c r="K29" s="23">
        <v>1.27</v>
      </c>
      <c r="L29" s="17">
        <v>0.56999999999999995</v>
      </c>
      <c r="M29" s="11">
        <v>0.1</v>
      </c>
      <c r="N29" s="11">
        <v>0.6</v>
      </c>
      <c r="O29" s="11"/>
      <c r="P29" s="18">
        <v>0.6</v>
      </c>
      <c r="Q29" s="5"/>
      <c r="R29" s="6" t="s">
        <v>21</v>
      </c>
    </row>
    <row r="30" spans="1:26" x14ac:dyDescent="0.25">
      <c r="A30" s="2" t="s">
        <v>24</v>
      </c>
      <c r="B30" s="28">
        <v>0.4</v>
      </c>
      <c r="C30" s="10"/>
      <c r="D30" s="34">
        <v>0.16500000000000001</v>
      </c>
      <c r="E30" s="29">
        <v>0.05</v>
      </c>
      <c r="F30" s="35">
        <f>B30-D30-E30</f>
        <v>0.185</v>
      </c>
      <c r="G30" s="10"/>
      <c r="H30" s="10"/>
      <c r="I30" s="22" t="s">
        <v>20</v>
      </c>
      <c r="J30" s="10"/>
      <c r="K30" s="23">
        <v>1.27</v>
      </c>
      <c r="L30" s="17">
        <v>0.56999999999999995</v>
      </c>
      <c r="M30" s="11">
        <v>0.1</v>
      </c>
      <c r="N30" s="11">
        <v>0.6</v>
      </c>
      <c r="O30" s="11"/>
      <c r="P30" s="18">
        <v>0.6</v>
      </c>
      <c r="Q30" s="5"/>
      <c r="R30" s="6" t="s">
        <v>21</v>
      </c>
    </row>
    <row r="31" spans="1:26" x14ac:dyDescent="0.25">
      <c r="A31" s="2" t="s">
        <v>25</v>
      </c>
      <c r="B31" s="28">
        <v>0.3</v>
      </c>
      <c r="C31" s="10"/>
      <c r="D31" s="36">
        <v>0.15</v>
      </c>
      <c r="E31" s="37">
        <v>0.03</v>
      </c>
      <c r="F31" s="38">
        <f>B31-D31-E31</f>
        <v>0.12</v>
      </c>
      <c r="G31" s="10"/>
      <c r="H31" s="10"/>
      <c r="I31" s="22" t="s">
        <v>20</v>
      </c>
      <c r="J31" s="10"/>
      <c r="K31" s="23">
        <v>1.27</v>
      </c>
      <c r="L31" s="19">
        <v>0.56999999999999995</v>
      </c>
      <c r="M31" s="20">
        <v>0.1</v>
      </c>
      <c r="N31" s="20">
        <v>0.6</v>
      </c>
      <c r="O31" s="20"/>
      <c r="P31" s="21">
        <v>0.6</v>
      </c>
      <c r="Q31" s="5"/>
      <c r="R31" s="6" t="s">
        <v>21</v>
      </c>
    </row>
    <row r="32" spans="1:26" x14ac:dyDescent="0.25">
      <c r="A32" s="2"/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1"/>
      <c r="M32" s="11"/>
      <c r="N32" s="11"/>
      <c r="O32" s="11"/>
      <c r="P32" s="11"/>
    </row>
    <row r="34" spans="1:14" x14ac:dyDescent="0.25">
      <c r="A34" t="s">
        <v>29</v>
      </c>
    </row>
    <row r="35" spans="1:14" x14ac:dyDescent="0.25">
      <c r="A35" t="s">
        <v>30</v>
      </c>
      <c r="N35" s="7" t="s">
        <v>31</v>
      </c>
    </row>
    <row r="36" spans="1:14" x14ac:dyDescent="0.25">
      <c r="A36" t="s">
        <v>32</v>
      </c>
    </row>
    <row r="37" spans="1:14" x14ac:dyDescent="0.25">
      <c r="A37" t="s">
        <v>33</v>
      </c>
    </row>
    <row r="38" spans="1:14" x14ac:dyDescent="0.25">
      <c r="A38" t="s">
        <v>34</v>
      </c>
    </row>
  </sheetData>
  <mergeCells count="7">
    <mergeCell ref="L24:P24"/>
    <mergeCell ref="L25:P25"/>
    <mergeCell ref="D25:F25"/>
    <mergeCell ref="L15:P15"/>
    <mergeCell ref="L5:P5"/>
    <mergeCell ref="D15:F15"/>
    <mergeCell ref="D5:F5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179EC7BAA3B4C8960759BCECE82C4" ma:contentTypeVersion="10" ma:contentTypeDescription="Create a new document." ma:contentTypeScope="" ma:versionID="ebf16ac6c01586f06e5ac4d08799cc9d">
  <xsd:schema xmlns:xsd="http://www.w3.org/2001/XMLSchema" xmlns:xs="http://www.w3.org/2001/XMLSchema" xmlns:p="http://schemas.microsoft.com/office/2006/metadata/properties" xmlns:ns2="1df343e7-5bdb-40d4-9440-f7a8bcca0d8a" targetNamespace="http://schemas.microsoft.com/office/2006/metadata/properties" ma:root="true" ma:fieldsID="9d90a90c09512a4c7b3d6a3ad139f09c" ns2:_="">
    <xsd:import namespace="1df343e7-5bdb-40d4-9440-f7a8bcca0d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grg" minOccurs="0"/>
                <xsd:element ref="ns2:ToolType" minOccurs="0"/>
                <xsd:element ref="ns2:DocumentPurpose" minOccurs="0"/>
                <xsd:element ref="ns2:Status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343e7-5bdb-40d4-9440-f7a8bcca0d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grg" ma:index="11" nillable="true" ma:displayName=" Strategy Category" ma:format="Dropdown" ma:internalName="rgrg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tirement"/>
                        <xsd:enumeration value="Annuities"/>
                        <xsd:enumeration value="Life Insurance-Based Strategies"/>
                        <xsd:enumeration value="Alternative Investment Structures"/>
                        <xsd:enumeration value="Protection Planning"/>
                        <xsd:enumeration value="Other Planning Tools"/>
                        <xsd:enumeration value="Real Estate"/>
                        <xsd:enumeration value="Tax Planning"/>
                        <xsd:enumeration value="estate planning"/>
                        <xsd:enumeration value="Gifting strategy"/>
                        <xsd:enumeration value="Income Planning"/>
                        <xsd:enumeration value="Financial Planning Process"/>
                        <xsd:enumeration value="Executive Compensation"/>
                        <xsd:enumeration value="TPBC Related"/>
                        <xsd:enumeration value="Prospecting Strateg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ToolType" ma:index="12" nillable="true" ma:displayName="Tool Type" ma:format="Dropdown" ma:internalName="ToolType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IRA"/>
                        <xsd:enumeration value="401(k)"/>
                        <xsd:enumeration value="MYGA"/>
                        <xsd:enumeration value="SPIA"/>
                        <xsd:enumeration value="FIA"/>
                        <xsd:enumeration value="VUL Annuity"/>
                        <xsd:enumeration value="Deferred Income Annuity (DIA)"/>
                        <xsd:enumeration value="101(a) Plan"/>
                        <xsd:enumeration value="Split Dollar Planning"/>
                        <xsd:enumeration value="Premium Financing"/>
                        <xsd:enumeration value="PPLI"/>
                        <xsd:enumeration value="VUL (Variable Universal Life)"/>
                        <xsd:enumeration value="IUL (Indexed Universal Life)"/>
                        <xsd:enumeration value="Whole Life"/>
                        <xsd:enumeration value="Term Life"/>
                        <xsd:enumeration value="1031 Exchange"/>
                        <xsd:enumeration value="DST (Delaware Statutory Trust)"/>
                        <xsd:enumeration value="QOZ (Qualified Opportunity Zone)"/>
                        <xsd:enumeration value="Real Estate Exit Planning"/>
                        <xsd:enumeration value="Cost Segregation"/>
                        <xsd:enumeration value="SMA (Separately Managed Account)"/>
                        <xsd:enumeration value="IDF (Insurance Dedicated Fund)"/>
                        <xsd:enumeration value="Disability Insurance"/>
                        <xsd:enumeration value="Buy-Sell Agreement Funding"/>
                        <xsd:enumeration value="Long term care insurance"/>
                        <xsd:enumeration value="Living trust"/>
                        <xsd:enumeration value="financial planning process"/>
                        <xsd:enumeration value="1035 exchange"/>
                        <xsd:enumeration value="403(b)"/>
                        <xsd:enumeration value="Will"/>
                        <xsd:enumeration value="Tax Deferred accounts"/>
                        <xsd:enumeration value="NA"/>
                        <xsd:enumeration value="Life insurance"/>
                        <xsd:enumeration value="Advisor Development"/>
                        <xsd:enumeration value="Trusts"/>
                        <xsd:enumeration value="Life Settlemen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DocumentPurpose" ma:index="13" nillable="true" ma:displayName="Document Purpose" ma:format="Dropdown" ma:internalName="DocumentPurpose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dvisor Training"/>
                        <xsd:enumeration value="Client-Facing"/>
                        <xsd:enumeration value="Case Study"/>
                        <xsd:enumeration value="Compliance Template"/>
                        <xsd:enumeration value="Internal Draft"/>
                        <xsd:enumeration value="Advisor Template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tatus" ma:index="14" ma:displayName="Status" ma:format="Dropdown" ma:internalName="Status">
      <xsd:simpleType>
        <xsd:union memberTypes="dms:Text">
          <xsd:simpleType>
            <xsd:restriction base="dms:Choice">
              <xsd:enumeration value="Draft"/>
              <xsd:enumeration value="In Review"/>
              <xsd:enumeration value="Final"/>
              <xsd:enumeration value="Needs Update"/>
              <xsd:enumeration value="Reviewed By The Fellowship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Document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olType xmlns="1df343e7-5bdb-40d4-9440-f7a8bcca0d8a">
      <Value>PPLI</Value>
    </ToolType>
    <DocumentPurpose xmlns="1df343e7-5bdb-40d4-9440-f7a8bcca0d8a">
      <Value>Internal Draft</Value>
    </DocumentPurpose>
    <Status xmlns="1df343e7-5bdb-40d4-9440-f7a8bcca0d8a">In Review</Status>
    <rgrg xmlns="1df343e7-5bdb-40d4-9440-f7a8bcca0d8a"/>
  </documentManagement>
</p:properties>
</file>

<file path=customXml/itemProps1.xml><?xml version="1.0" encoding="utf-8"?>
<ds:datastoreItem xmlns:ds="http://schemas.openxmlformats.org/officeDocument/2006/customXml" ds:itemID="{C20A6832-06BE-40FD-AE84-B8278870DB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1E5A49-8C5A-4A61-988A-25C93E5CF11C}"/>
</file>

<file path=customXml/itemProps3.xml><?xml version="1.0" encoding="utf-8"?>
<ds:datastoreItem xmlns:ds="http://schemas.openxmlformats.org/officeDocument/2006/customXml" ds:itemID="{25F46C91-D8EB-42B1-AE1B-60B53BF44EF0}">
  <ds:schemaRefs>
    <ds:schemaRef ds:uri="http://schemas.microsoft.com/office/2006/metadata/properties"/>
    <ds:schemaRef ds:uri="http://www.w3.org/2000/xmlns/"/>
    <ds:schemaRef ds:uri="4d2ca865-c1d2-42f7-81b9-f82f7d52f094"/>
    <ds:schemaRef ds:uri="http://schemas.microsoft.com/office/infopath/2007/PartnerControls"/>
    <ds:schemaRef ds:uri="c47d39a6-80fc-4ce0-8a91-873454e1aa9b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Jensen</dc:creator>
  <cp:keywords/>
  <dc:description/>
  <cp:lastModifiedBy>Ryan Pinney</cp:lastModifiedBy>
  <cp:revision/>
  <dcterms:created xsi:type="dcterms:W3CDTF">2024-07-09T16:52:51Z</dcterms:created>
  <dcterms:modified xsi:type="dcterms:W3CDTF">2026-02-06T19:55:47Z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0x010100AA2179EC7BAA3B4C8960759BCECE82C4</vt:lpwstr>
  </property>
  <property fmtid="{D5CDD505-2E9C-101B-9397-08002B2CF9AE}" pid="3" name="MediaServiceImageTags">
    <vt:lpwstr/>
  </property>
</Properties>
</file>